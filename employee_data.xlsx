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91820\Downloads\"/>
    </mc:Choice>
  </mc:AlternateContent>
  <xr:revisionPtr revIDLastSave="0" documentId="13_ncr:1_{1C9E8B90-8ADE-4694-8FEF-DEFFF7E58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26" i="1" l="1"/>
  <c r="AK2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T3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Q2" i="1"/>
  <c r="U2" i="1" s="1"/>
  <c r="Q3" i="1"/>
  <c r="U3" i="1" s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68" i="1"/>
  <c r="U68" i="1" s="1"/>
  <c r="Q69" i="1"/>
  <c r="U69" i="1" s="1"/>
  <c r="Q70" i="1"/>
  <c r="U70" i="1" s="1"/>
  <c r="Q71" i="1"/>
  <c r="U71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Q94" i="1"/>
  <c r="U94" i="1" s="1"/>
  <c r="Q95" i="1"/>
  <c r="U95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AK32" i="1"/>
  <c r="AK29" i="1"/>
  <c r="AJ20" i="1"/>
  <c r="AJ18" i="1"/>
  <c r="AJ16" i="1"/>
  <c r="AJ14" i="1"/>
  <c r="AM11" i="1"/>
  <c r="AL11" i="1"/>
  <c r="AK11" i="1"/>
  <c r="AJ1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AL8" i="1"/>
  <c r="AK8" i="1"/>
  <c r="AJ8" i="1"/>
  <c r="AL5" i="1"/>
  <c r="AK5" i="1"/>
  <c r="AJ5" i="1"/>
  <c r="AJ2" i="1"/>
  <c r="AL2" i="1"/>
  <c r="AK2" i="1"/>
  <c r="W94" i="1" l="1"/>
  <c r="W47" i="1"/>
  <c r="W62" i="1"/>
  <c r="W30" i="1"/>
  <c r="W46" i="1"/>
  <c r="W93" i="1"/>
  <c r="W92" i="1"/>
  <c r="W61" i="1"/>
  <c r="W29" i="1"/>
  <c r="W45" i="1"/>
  <c r="W60" i="1"/>
  <c r="W2" i="1"/>
  <c r="X77" i="1"/>
  <c r="X13" i="1"/>
  <c r="W95" i="1"/>
  <c r="W31" i="1"/>
  <c r="W44" i="1"/>
  <c r="W28" i="1"/>
  <c r="W101" i="1"/>
  <c r="W85" i="1"/>
  <c r="W69" i="1"/>
  <c r="W53" i="1"/>
  <c r="W37" i="1"/>
  <c r="W21" i="1"/>
  <c r="W5" i="1"/>
  <c r="W100" i="1"/>
  <c r="W84" i="1"/>
  <c r="W68" i="1"/>
  <c r="W52" i="1"/>
  <c r="W36" i="1"/>
  <c r="W20" i="1"/>
  <c r="W4" i="1"/>
  <c r="W99" i="1"/>
  <c r="W83" i="1"/>
  <c r="W67" i="1"/>
  <c r="W51" i="1"/>
  <c r="W35" i="1"/>
  <c r="W19" i="1"/>
  <c r="W98" i="1"/>
  <c r="W82" i="1"/>
  <c r="W66" i="1"/>
  <c r="W50" i="1"/>
  <c r="W34" i="1"/>
  <c r="W18" i="1"/>
  <c r="W3" i="1"/>
  <c r="W81" i="1"/>
  <c r="W33" i="1"/>
  <c r="W80" i="1"/>
  <c r="W32" i="1"/>
  <c r="W79" i="1"/>
  <c r="W63" i="1"/>
  <c r="W15" i="1"/>
  <c r="W72" i="1"/>
  <c r="W40" i="1"/>
  <c r="W24" i="1"/>
  <c r="W8" i="1"/>
  <c r="W78" i="1"/>
  <c r="W14" i="1"/>
  <c r="X10" i="1"/>
  <c r="W77" i="1"/>
  <c r="W13" i="1"/>
  <c r="X9" i="1"/>
  <c r="W49" i="1"/>
  <c r="W64" i="1"/>
  <c r="W16" i="1"/>
  <c r="X76" i="1"/>
  <c r="W12" i="1"/>
  <c r="X8" i="1"/>
  <c r="X7" i="1"/>
  <c r="W97" i="1"/>
  <c r="W65" i="1"/>
  <c r="W17" i="1"/>
  <c r="W96" i="1"/>
  <c r="W48" i="1"/>
  <c r="W76" i="1"/>
  <c r="W7" i="1"/>
  <c r="X72" i="1"/>
  <c r="W39" i="1"/>
  <c r="X75" i="1"/>
  <c r="X12" i="1"/>
  <c r="W74" i="1"/>
  <c r="W42" i="1"/>
  <c r="W71" i="1"/>
  <c r="W23" i="1"/>
  <c r="W54" i="1"/>
  <c r="X74" i="1"/>
  <c r="X73" i="1"/>
  <c r="X71" i="1"/>
  <c r="W75" i="1"/>
  <c r="W43" i="1"/>
  <c r="W11" i="1"/>
  <c r="X11" i="1"/>
  <c r="W89" i="1"/>
  <c r="W73" i="1"/>
  <c r="W57" i="1"/>
  <c r="W41" i="1"/>
  <c r="W9" i="1"/>
  <c r="W88" i="1"/>
  <c r="W91" i="1"/>
  <c r="W27" i="1"/>
  <c r="W90" i="1"/>
  <c r="W10" i="1"/>
  <c r="W25" i="1"/>
  <c r="W87" i="1"/>
  <c r="W86" i="1"/>
  <c r="X44" i="1"/>
  <c r="W59" i="1"/>
  <c r="W56" i="1"/>
  <c r="W55" i="1"/>
  <c r="W38" i="1"/>
  <c r="X43" i="1"/>
  <c r="W58" i="1"/>
  <c r="W22" i="1"/>
  <c r="X42" i="1"/>
  <c r="W26" i="1"/>
  <c r="X6" i="1"/>
  <c r="X45" i="1"/>
  <c r="W6" i="1"/>
  <c r="X41" i="1"/>
  <c r="X70" i="1"/>
  <c r="X40" i="1"/>
  <c r="X38" i="1"/>
  <c r="W70" i="1"/>
  <c r="X39" i="1"/>
  <c r="U93" i="1"/>
  <c r="X93" i="1"/>
  <c r="U61" i="1"/>
  <c r="X61" i="1"/>
  <c r="U29" i="1"/>
  <c r="X29" i="1"/>
  <c r="X92" i="1"/>
  <c r="X60" i="1"/>
  <c r="X28" i="1"/>
  <c r="X91" i="1"/>
  <c r="X59" i="1"/>
  <c r="X27" i="1"/>
  <c r="X90" i="1"/>
  <c r="X58" i="1"/>
  <c r="X26" i="1"/>
  <c r="X89" i="1"/>
  <c r="X57" i="1"/>
  <c r="X25" i="1"/>
  <c r="X88" i="1"/>
  <c r="X56" i="1"/>
  <c r="X24" i="1"/>
  <c r="X87" i="1"/>
  <c r="X55" i="1"/>
  <c r="X23" i="1"/>
  <c r="X86" i="1"/>
  <c r="X54" i="1"/>
  <c r="X22" i="1"/>
  <c r="X101" i="1"/>
  <c r="X85" i="1"/>
  <c r="X69" i="1"/>
  <c r="X53" i="1"/>
  <c r="X37" i="1"/>
  <c r="X21" i="1"/>
  <c r="X84" i="1"/>
  <c r="X52" i="1"/>
  <c r="X20" i="1"/>
  <c r="X4" i="1"/>
  <c r="X99" i="1"/>
  <c r="X67" i="1"/>
  <c r="X51" i="1"/>
  <c r="X19" i="1"/>
  <c r="X82" i="1"/>
  <c r="X66" i="1"/>
  <c r="X50" i="1"/>
  <c r="X2" i="1"/>
  <c r="X97" i="1"/>
  <c r="X65" i="1"/>
  <c r="X96" i="1"/>
  <c r="X80" i="1"/>
  <c r="X64" i="1"/>
  <c r="X48" i="1"/>
  <c r="X32" i="1"/>
  <c r="X16" i="1"/>
  <c r="X95" i="1"/>
  <c r="X79" i="1"/>
  <c r="X63" i="1"/>
  <c r="X47" i="1"/>
  <c r="X31" i="1"/>
  <c r="X15" i="1"/>
  <c r="X5" i="1"/>
  <c r="X100" i="1"/>
  <c r="X68" i="1"/>
  <c r="X36" i="1"/>
  <c r="X83" i="1"/>
  <c r="X35" i="1"/>
  <c r="X3" i="1"/>
  <c r="X98" i="1"/>
  <c r="X34" i="1"/>
  <c r="X18" i="1"/>
  <c r="X81" i="1"/>
  <c r="X49" i="1"/>
  <c r="X33" i="1"/>
  <c r="X17" i="1"/>
  <c r="X94" i="1"/>
  <c r="X78" i="1"/>
  <c r="X62" i="1"/>
  <c r="X46" i="1"/>
  <c r="X30" i="1"/>
  <c r="X14" i="1"/>
</calcChain>
</file>

<file path=xl/sharedStrings.xml><?xml version="1.0" encoding="utf-8"?>
<sst xmlns="http://schemas.openxmlformats.org/spreadsheetml/2006/main" count="858" uniqueCount="487">
  <si>
    <t>EmpID</t>
  </si>
  <si>
    <t>FirstName</t>
  </si>
  <si>
    <t>LastName</t>
  </si>
  <si>
    <t>Department</t>
  </si>
  <si>
    <t>City</t>
  </si>
  <si>
    <t>Salary</t>
  </si>
  <si>
    <t>Age</t>
  </si>
  <si>
    <t>JoiningYear</t>
  </si>
  <si>
    <t>Rating</t>
  </si>
  <si>
    <t>FullName</t>
  </si>
  <si>
    <t>EmailRaw</t>
  </si>
  <si>
    <t>Notes</t>
  </si>
  <si>
    <t>E001</t>
  </si>
  <si>
    <t>Gaurav</t>
  </si>
  <si>
    <t>Singh</t>
  </si>
  <si>
    <t>Sales</t>
  </si>
  <si>
    <t>Chennai</t>
  </si>
  <si>
    <t xml:space="preserve">  Gaurav Singh  </t>
  </si>
  <si>
    <t xml:space="preserve">  gaurav.singh@company.com  </t>
  </si>
  <si>
    <t>Joined in 2012, works in Sales</t>
  </si>
  <si>
    <t>E002</t>
  </si>
  <si>
    <t>Bhavna</t>
  </si>
  <si>
    <t>Agarwal</t>
  </si>
  <si>
    <t>HR</t>
  </si>
  <si>
    <t>Surat</t>
  </si>
  <si>
    <t xml:space="preserve">  Bhavna Agarwal  </t>
  </si>
  <si>
    <t xml:space="preserve">  bhavna.agarwal@company.com  </t>
  </si>
  <si>
    <t>Joined in 2010, works in HR</t>
  </si>
  <si>
    <t>E003</t>
  </si>
  <si>
    <t>Karan</t>
  </si>
  <si>
    <t>Pillai</t>
  </si>
  <si>
    <t>Ahmedabad</t>
  </si>
  <si>
    <t xml:space="preserve">  Karan Pillai  </t>
  </si>
  <si>
    <t xml:space="preserve">  karan.pillai@company.com  </t>
  </si>
  <si>
    <t>Joined in 2016, works in Sales</t>
  </si>
  <si>
    <t>E004</t>
  </si>
  <si>
    <t>Shweta</t>
  </si>
  <si>
    <t>Mehta</t>
  </si>
  <si>
    <t>Bangalore</t>
  </si>
  <si>
    <t xml:space="preserve">  Shweta Mehta  </t>
  </si>
  <si>
    <t xml:space="preserve">  shweta.mehta@company.com  </t>
  </si>
  <si>
    <t>Joined in 2015, works in Sales</t>
  </si>
  <si>
    <t>E005</t>
  </si>
  <si>
    <t>Divya</t>
  </si>
  <si>
    <t>Iyer</t>
  </si>
  <si>
    <t>Delhi</t>
  </si>
  <si>
    <t xml:space="preserve">  Divya Iyer  </t>
  </si>
  <si>
    <t xml:space="preserve">  divya.iyer@company.com  </t>
  </si>
  <si>
    <t>Joined in 2015, works in HR</t>
  </si>
  <si>
    <t>E006</t>
  </si>
  <si>
    <t>Mohit</t>
  </si>
  <si>
    <t>Jaipur</t>
  </si>
  <si>
    <t xml:space="preserve">  Mohit Mehta  </t>
  </si>
  <si>
    <t xml:space="preserve">  mohit.mehta@company.com  </t>
  </si>
  <si>
    <t>E007</t>
  </si>
  <si>
    <t>Ravi</t>
  </si>
  <si>
    <t>Sinha</t>
  </si>
  <si>
    <t>Operations</t>
  </si>
  <si>
    <t xml:space="preserve">  Ravi Sinha  </t>
  </si>
  <si>
    <t xml:space="preserve">  ravi.sinha@company.com  </t>
  </si>
  <si>
    <t>Joined in 2010, works in Operations</t>
  </si>
  <si>
    <t>E008</t>
  </si>
  <si>
    <t>Neha</t>
  </si>
  <si>
    <t>Reddy</t>
  </si>
  <si>
    <t>Hyderabad</t>
  </si>
  <si>
    <t xml:space="preserve">  Neha Reddy  </t>
  </si>
  <si>
    <t xml:space="preserve">  neha.reddy@company.com  </t>
  </si>
  <si>
    <t>Joined in 2014, works in HR</t>
  </si>
  <si>
    <t>E009</t>
  </si>
  <si>
    <t>Tanya</t>
  </si>
  <si>
    <t>Kumar</t>
  </si>
  <si>
    <t>Pune</t>
  </si>
  <si>
    <t xml:space="preserve">  Tanya Kumar  </t>
  </si>
  <si>
    <t xml:space="preserve">  tanya.kumar@company.com  </t>
  </si>
  <si>
    <t>Joined in 2021, works in Operations</t>
  </si>
  <si>
    <t>E010</t>
  </si>
  <si>
    <t>Usha</t>
  </si>
  <si>
    <t>Gupta</t>
  </si>
  <si>
    <t>Finance</t>
  </si>
  <si>
    <t xml:space="preserve">  Usha Gupta  </t>
  </si>
  <si>
    <t xml:space="preserve">  usha.gupta@company.com  </t>
  </si>
  <si>
    <t>Joined in 2017, works in Finance</t>
  </si>
  <si>
    <t>E011</t>
  </si>
  <si>
    <t>IT</t>
  </si>
  <si>
    <t xml:space="preserve">  Gaurav Agarwal  </t>
  </si>
  <si>
    <t xml:space="preserve">  gaurav.agarwal@company.com  </t>
  </si>
  <si>
    <t>Joined in 2023, works in IT</t>
  </si>
  <si>
    <t>E012</t>
  </si>
  <si>
    <t>Dev</t>
  </si>
  <si>
    <t>Mishra</t>
  </si>
  <si>
    <t>Marketing</t>
  </si>
  <si>
    <t xml:space="preserve">  Dev Mishra  </t>
  </si>
  <si>
    <t xml:space="preserve">  dev.mishra@company.com  </t>
  </si>
  <si>
    <t>Joined in 2021, works in Marketing</t>
  </si>
  <si>
    <t>E013</t>
  </si>
  <si>
    <t>Rao</t>
  </si>
  <si>
    <t>Support</t>
  </si>
  <si>
    <t xml:space="preserve">  Usha Rao  </t>
  </si>
  <si>
    <t xml:space="preserve">  usha.rao@company.com  </t>
  </si>
  <si>
    <t>Joined in 2012, works in Support</t>
  </si>
  <si>
    <t>E014</t>
  </si>
  <si>
    <t>Rekha</t>
  </si>
  <si>
    <t xml:space="preserve">  Rekha Agarwal  </t>
  </si>
  <si>
    <t xml:space="preserve">  rekha.agarwal@company.com  </t>
  </si>
  <si>
    <t>Joined in 2015, works in Marketing</t>
  </si>
  <si>
    <t>E015</t>
  </si>
  <si>
    <t>Amit</t>
  </si>
  <si>
    <t>Legal</t>
  </si>
  <si>
    <t xml:space="preserve">  Amit Pillai  </t>
  </si>
  <si>
    <t xml:space="preserve">  amit.pillai@company.com  </t>
  </si>
  <si>
    <t>Joined in 2012, works in Legal</t>
  </si>
  <si>
    <t>E016</t>
  </si>
  <si>
    <t>Bose</t>
  </si>
  <si>
    <t>Kolkata</t>
  </si>
  <si>
    <t xml:space="preserve">  Bhavna Bose  </t>
  </si>
  <si>
    <t xml:space="preserve">  bhavna.bose@company.com  </t>
  </si>
  <si>
    <t>Joined in 2018, works in HR</t>
  </si>
  <si>
    <t>E017</t>
  </si>
  <si>
    <t>Sharma</t>
  </si>
  <si>
    <t xml:space="preserve">  Rekha Sharma  </t>
  </si>
  <si>
    <t xml:space="preserve">  rekha.sharma@company.com  </t>
  </si>
  <si>
    <t>Joined in 2011, works in HR</t>
  </si>
  <si>
    <t>E018</t>
  </si>
  <si>
    <t>Suresh</t>
  </si>
  <si>
    <t>Das</t>
  </si>
  <si>
    <t xml:space="preserve">  Suresh Das  </t>
  </si>
  <si>
    <t xml:space="preserve">  suresh.das@company.com  </t>
  </si>
  <si>
    <t>Joined in 2018, works in Sales</t>
  </si>
  <si>
    <t>E019</t>
  </si>
  <si>
    <t xml:space="preserve">  Gaurav Reddy  </t>
  </si>
  <si>
    <t xml:space="preserve">  gaurav.reddy@company.com  </t>
  </si>
  <si>
    <t>Joined in 2018, works in IT</t>
  </si>
  <si>
    <t>E020</t>
  </si>
  <si>
    <t>Simran</t>
  </si>
  <si>
    <t xml:space="preserve">  Simran Sharma  </t>
  </si>
  <si>
    <t xml:space="preserve">  simran.sharma@company.com  </t>
  </si>
  <si>
    <t>Joined in 2015, works in Operations</t>
  </si>
  <si>
    <t>E021</t>
  </si>
  <si>
    <t>Lakshmi</t>
  </si>
  <si>
    <t>Nair</t>
  </si>
  <si>
    <t xml:space="preserve">  Lakshmi Nair  </t>
  </si>
  <si>
    <t xml:space="preserve">  lakshmi.nair@company.com  </t>
  </si>
  <si>
    <t>Joined in 2011, works in Sales</t>
  </si>
  <si>
    <t>E022</t>
  </si>
  <si>
    <t>Vikram</t>
  </si>
  <si>
    <t xml:space="preserve">  Vikram Agarwal  </t>
  </si>
  <si>
    <t xml:space="preserve">  vikram.agarwal@company.com  </t>
  </si>
  <si>
    <t>Joined in 2018, works in Finance</t>
  </si>
  <si>
    <t>E023</t>
  </si>
  <si>
    <t xml:space="preserve">  Simran Sinha  </t>
  </si>
  <si>
    <t xml:space="preserve">  simran.sinha@company.com  </t>
  </si>
  <si>
    <t>Joined in 2021, works in Support</t>
  </si>
  <si>
    <t>E024</t>
  </si>
  <si>
    <t>Tarun</t>
  </si>
  <si>
    <t>Kapoor</t>
  </si>
  <si>
    <t xml:space="preserve">  Tarun Kapoor  </t>
  </si>
  <si>
    <t xml:space="preserve">  tarun.kapoor@company.com  </t>
  </si>
  <si>
    <t>Joined in 2013, works in Legal</t>
  </si>
  <si>
    <t>E025</t>
  </si>
  <si>
    <t>Sana</t>
  </si>
  <si>
    <t xml:space="preserve">  Sana Sharma  </t>
  </si>
  <si>
    <t xml:space="preserve">  sana.sharma@company.com  </t>
  </si>
  <si>
    <t>Joined in 2011, works in IT</t>
  </si>
  <si>
    <t>E026</t>
  </si>
  <si>
    <t>Sneha</t>
  </si>
  <si>
    <t>Mumbai</t>
  </si>
  <si>
    <t xml:space="preserve">  Sneha Nair  </t>
  </si>
  <si>
    <t xml:space="preserve">  sneha.nair@company.com  </t>
  </si>
  <si>
    <t>E027</t>
  </si>
  <si>
    <t xml:space="preserve">  Tarun Rao  </t>
  </si>
  <si>
    <t xml:space="preserve">  tarun.rao@company.com  </t>
  </si>
  <si>
    <t>Joined in 2019, works in IT</t>
  </si>
  <si>
    <t>E028</t>
  </si>
  <si>
    <t>Yash</t>
  </si>
  <si>
    <t xml:space="preserve">  Yash Bose  </t>
  </si>
  <si>
    <t xml:space="preserve">  yash.bose@company.com  </t>
  </si>
  <si>
    <t>Joined in 2015, works in IT</t>
  </si>
  <si>
    <t>E029</t>
  </si>
  <si>
    <t>Deepa</t>
  </si>
  <si>
    <t>Verma</t>
  </si>
  <si>
    <t xml:space="preserve">  Deepa Verma  </t>
  </si>
  <si>
    <t xml:space="preserve">  deepa.verma@company.com  </t>
  </si>
  <si>
    <t>Joined in 2022, works in HR</t>
  </si>
  <si>
    <t>E030</t>
  </si>
  <si>
    <t>Nisha</t>
  </si>
  <si>
    <t>Joshi</t>
  </si>
  <si>
    <t xml:space="preserve">  Nisha Joshi  </t>
  </si>
  <si>
    <t xml:space="preserve">  nisha.joshi@company.com  </t>
  </si>
  <si>
    <t>Joined in 2016, works in IT</t>
  </si>
  <si>
    <t>E031</t>
  </si>
  <si>
    <t xml:space="preserve">  Deepa Nair  </t>
  </si>
  <si>
    <t xml:space="preserve">  deepa.nair@company.com  </t>
  </si>
  <si>
    <t>E032</t>
  </si>
  <si>
    <t>Harsh</t>
  </si>
  <si>
    <t xml:space="preserve">  Harsh Sharma  </t>
  </si>
  <si>
    <t xml:space="preserve">  harsh.sharma@company.com  </t>
  </si>
  <si>
    <t>Joined in 2017, works in HR</t>
  </si>
  <si>
    <t>E033</t>
  </si>
  <si>
    <t>Ritu</t>
  </si>
  <si>
    <t xml:space="preserve">  Ritu Verma  </t>
  </si>
  <si>
    <t xml:space="preserve">  ritu.verma@company.com  </t>
  </si>
  <si>
    <t>Joined in 2014, works in Finance</t>
  </si>
  <si>
    <t>E034</t>
  </si>
  <si>
    <t xml:space="preserve">  Deepa Reddy  </t>
  </si>
  <si>
    <t xml:space="preserve">  deepa.reddy@company.com  </t>
  </si>
  <si>
    <t>E035</t>
  </si>
  <si>
    <t xml:space="preserve">  Divya Verma  </t>
  </si>
  <si>
    <t xml:space="preserve">  divya.verma@company.com  </t>
  </si>
  <si>
    <t>Joined in 2019, works in Sales</t>
  </si>
  <si>
    <t>E036</t>
  </si>
  <si>
    <t xml:space="preserve">  Simran Kumar  </t>
  </si>
  <si>
    <t xml:space="preserve">  simran.kumar@company.com  </t>
  </si>
  <si>
    <t>E037</t>
  </si>
  <si>
    <t xml:space="preserve">  Bhavna Nair  </t>
  </si>
  <si>
    <t xml:space="preserve">  bhavna.nair@company.com  </t>
  </si>
  <si>
    <t>Joined in 2019, works in Support</t>
  </si>
  <si>
    <t>E038</t>
  </si>
  <si>
    <t>Pallavi</t>
  </si>
  <si>
    <t xml:space="preserve">  Pallavi Gupta  </t>
  </si>
  <si>
    <t xml:space="preserve">  pallavi.gupta@company.com  </t>
  </si>
  <si>
    <t>Joined in 2015, works in Support</t>
  </si>
  <si>
    <t>E039</t>
  </si>
  <si>
    <t>Joined in 2020, works in IT</t>
  </si>
  <si>
    <t>E040</t>
  </si>
  <si>
    <t xml:space="preserve">  Deepa Iyer  </t>
  </si>
  <si>
    <t xml:space="preserve">  deepa.iyer@company.com  </t>
  </si>
  <si>
    <t>E041</t>
  </si>
  <si>
    <t xml:space="preserve">  Divya Pillai  </t>
  </si>
  <si>
    <t xml:space="preserve">  divya.pillai@company.com  </t>
  </si>
  <si>
    <t>Joined in 2013, works in Marketing</t>
  </si>
  <si>
    <t>E042</t>
  </si>
  <si>
    <t>Joined in 2010, works in Marketing</t>
  </si>
  <si>
    <t>E043</t>
  </si>
  <si>
    <t xml:space="preserve">  Rekha Reddy  </t>
  </si>
  <si>
    <t xml:space="preserve">  rekha.reddy@company.com  </t>
  </si>
  <si>
    <t>E044</t>
  </si>
  <si>
    <t>Kavya</t>
  </si>
  <si>
    <t xml:space="preserve">  Kavya Mehta  </t>
  </si>
  <si>
    <t xml:space="preserve">  kavya.mehta@company.com  </t>
  </si>
  <si>
    <t>E045</t>
  </si>
  <si>
    <t>Arjun</t>
  </si>
  <si>
    <t xml:space="preserve">  Arjun Pillai  </t>
  </si>
  <si>
    <t xml:space="preserve">  arjun.pillai@company.com  </t>
  </si>
  <si>
    <t>Joined in 2020, works in Legal</t>
  </si>
  <si>
    <t>E046</t>
  </si>
  <si>
    <t>Swati</t>
  </si>
  <si>
    <t xml:space="preserve">  Swati Verma  </t>
  </si>
  <si>
    <t xml:space="preserve">  swati.verma@company.com  </t>
  </si>
  <si>
    <t>E047</t>
  </si>
  <si>
    <t xml:space="preserve">  Rekha Bose  </t>
  </si>
  <si>
    <t xml:space="preserve">  rekha.bose@company.com  </t>
  </si>
  <si>
    <t>E048</t>
  </si>
  <si>
    <t>Shah</t>
  </si>
  <si>
    <t xml:space="preserve">  Tanya Shah  </t>
  </si>
  <si>
    <t xml:space="preserve">  tanya.shah@company.com  </t>
  </si>
  <si>
    <t>E049</t>
  </si>
  <si>
    <t>Rahul</t>
  </si>
  <si>
    <t xml:space="preserve">  Rahul Kapoor  </t>
  </si>
  <si>
    <t xml:space="preserve">  rahul.kapoor@company.com  </t>
  </si>
  <si>
    <t>E050</t>
  </si>
  <si>
    <t>Manish</t>
  </si>
  <si>
    <t xml:space="preserve">  Manish Sinha  </t>
  </si>
  <si>
    <t xml:space="preserve">  manish.sinha@company.com  </t>
  </si>
  <si>
    <t>Joined in 2016, works in Finance</t>
  </si>
  <si>
    <t>E051</t>
  </si>
  <si>
    <t>Jyoti</t>
  </si>
  <si>
    <t xml:space="preserve">  Jyoti Iyer  </t>
  </si>
  <si>
    <t xml:space="preserve">  jyoti.iyer@company.com  </t>
  </si>
  <si>
    <t>Joined in 2022, works in Support</t>
  </si>
  <si>
    <t>E052</t>
  </si>
  <si>
    <t>Vivek</t>
  </si>
  <si>
    <t xml:space="preserve">  Vivek Verma  </t>
  </si>
  <si>
    <t xml:space="preserve">  vivek.verma@company.com  </t>
  </si>
  <si>
    <t>Joined in 2015, works in Legal</t>
  </si>
  <si>
    <t>E053</t>
  </si>
  <si>
    <t xml:space="preserve">  Karan Nair  </t>
  </si>
  <si>
    <t xml:space="preserve">  karan.nair@company.com  </t>
  </si>
  <si>
    <t>Joined in 2014, works in Sales</t>
  </si>
  <si>
    <t>E054</t>
  </si>
  <si>
    <t xml:space="preserve">  Neha Mehta  </t>
  </si>
  <si>
    <t xml:space="preserve">  neha.mehta@company.com  </t>
  </si>
  <si>
    <t>E055</t>
  </si>
  <si>
    <t>Pooja</t>
  </si>
  <si>
    <t xml:space="preserve">  Pooja Mehta  </t>
  </si>
  <si>
    <t xml:space="preserve">  pooja.mehta@company.com  </t>
  </si>
  <si>
    <t>Joined in 2011, works in Finance</t>
  </si>
  <si>
    <t>E056</t>
  </si>
  <si>
    <t>Anil</t>
  </si>
  <si>
    <t xml:space="preserve">  Anil Iyer  </t>
  </si>
  <si>
    <t xml:space="preserve">  anil.iyer@company.com  </t>
  </si>
  <si>
    <t>Joined in 2016, works in Support</t>
  </si>
  <si>
    <t>E057</t>
  </si>
  <si>
    <t>Nikhil</t>
  </si>
  <si>
    <t xml:space="preserve">  Nikhil Mehta  </t>
  </si>
  <si>
    <t xml:space="preserve">  nikhil.mehta@company.com  </t>
  </si>
  <si>
    <t>Joined in 2022, works in Sales</t>
  </si>
  <si>
    <t>E058</t>
  </si>
  <si>
    <t>Nitin</t>
  </si>
  <si>
    <t xml:space="preserve">  Nitin Joshi  </t>
  </si>
  <si>
    <t xml:space="preserve">  nitin.joshi@company.com  </t>
  </si>
  <si>
    <t>Joined in 2019, works in Operations</t>
  </si>
  <si>
    <t>E059</t>
  </si>
  <si>
    <t xml:space="preserve">  Pooja Reddy  </t>
  </si>
  <si>
    <t xml:space="preserve">  pooja.reddy@company.com  </t>
  </si>
  <si>
    <t>E060</t>
  </si>
  <si>
    <t xml:space="preserve">  Amit Joshi  </t>
  </si>
  <si>
    <t xml:space="preserve">  amit.joshi@company.com  </t>
  </si>
  <si>
    <t>E061</t>
  </si>
  <si>
    <t xml:space="preserve">  Ritu Agarwal  </t>
  </si>
  <si>
    <t xml:space="preserve">  ritu.agarwal@company.com  </t>
  </si>
  <si>
    <t>E062</t>
  </si>
  <si>
    <t xml:space="preserve">  Mohit Iyer  </t>
  </si>
  <si>
    <t xml:space="preserve">  mohit.iyer@company.com  </t>
  </si>
  <si>
    <t>Joined in 2018, works in Legal</t>
  </si>
  <si>
    <t>E063</t>
  </si>
  <si>
    <t xml:space="preserve">  Jyoti Kumar  </t>
  </si>
  <si>
    <t xml:space="preserve">  jyoti.kumar@company.com  </t>
  </si>
  <si>
    <t>E064</t>
  </si>
  <si>
    <t>Siddharth</t>
  </si>
  <si>
    <t xml:space="preserve">  Siddharth Nair  </t>
  </si>
  <si>
    <t xml:space="preserve">  siddharth.nair@company.com  </t>
  </si>
  <si>
    <t>E065</t>
  </si>
  <si>
    <t xml:space="preserve">  Yash Sinha  </t>
  </si>
  <si>
    <t xml:space="preserve">  yash.sinha@company.com  </t>
  </si>
  <si>
    <t>Joined in 2013, works in HR</t>
  </si>
  <si>
    <t>E066</t>
  </si>
  <si>
    <t xml:space="preserve">  Vivek Rao  </t>
  </si>
  <si>
    <t xml:space="preserve">  vivek.rao@company.com  </t>
  </si>
  <si>
    <t>E067</t>
  </si>
  <si>
    <t>Rohan</t>
  </si>
  <si>
    <t xml:space="preserve">  Rohan Bose  </t>
  </si>
  <si>
    <t xml:space="preserve">  rohan.bose@company.com  </t>
  </si>
  <si>
    <t>Joined in 2017, works in IT</t>
  </si>
  <si>
    <t>E068</t>
  </si>
  <si>
    <t xml:space="preserve">  Nisha Singh  </t>
  </si>
  <si>
    <t xml:space="preserve">  nisha.singh@company.com  </t>
  </si>
  <si>
    <t>E069</t>
  </si>
  <si>
    <t xml:space="preserve">  Siddharth Das  </t>
  </si>
  <si>
    <t xml:space="preserve">  siddharth.das@company.com  </t>
  </si>
  <si>
    <t>E070</t>
  </si>
  <si>
    <t>Sanjay</t>
  </si>
  <si>
    <t xml:space="preserve">  Sanjay Mehta  </t>
  </si>
  <si>
    <t xml:space="preserve">  sanjay.mehta@company.com  </t>
  </si>
  <si>
    <t>E071</t>
  </si>
  <si>
    <t xml:space="preserve">  Sanjay Gupta  </t>
  </si>
  <si>
    <t xml:space="preserve">  sanjay.gupta@company.com  </t>
  </si>
  <si>
    <t>E072</t>
  </si>
  <si>
    <t>Anjali</t>
  </si>
  <si>
    <t>Patel</t>
  </si>
  <si>
    <t xml:space="preserve">  Anjali Patel  </t>
  </si>
  <si>
    <t xml:space="preserve">  anjali.patel@company.com  </t>
  </si>
  <si>
    <t>Joined in 2021, works in Finance</t>
  </si>
  <si>
    <t>E073</t>
  </si>
  <si>
    <t xml:space="preserve">  Manish Bose  </t>
  </si>
  <si>
    <t xml:space="preserve">  manish.bose@company.com  </t>
  </si>
  <si>
    <t>E074</t>
  </si>
  <si>
    <t xml:space="preserve">  Manish Mishra  </t>
  </si>
  <si>
    <t xml:space="preserve">  manish.mishra@company.com  </t>
  </si>
  <si>
    <t>Joined in 2010, works in Sales</t>
  </si>
  <si>
    <t>E075</t>
  </si>
  <si>
    <t xml:space="preserve">  Lakshmi Mishra  </t>
  </si>
  <si>
    <t xml:space="preserve">  lakshmi.mishra@company.com  </t>
  </si>
  <si>
    <t>Joined in 2017, works in Support</t>
  </si>
  <si>
    <t>E076</t>
  </si>
  <si>
    <t>Geeta</t>
  </si>
  <si>
    <t xml:space="preserve">  Geeta Rao  </t>
  </si>
  <si>
    <t xml:space="preserve">  geeta.rao@company.com  </t>
  </si>
  <si>
    <t>Joined in 2021, works in Sales</t>
  </si>
  <si>
    <t>E077</t>
  </si>
  <si>
    <t xml:space="preserve">  Deepa Patel  </t>
  </si>
  <si>
    <t xml:space="preserve">  deepa.patel@company.com  </t>
  </si>
  <si>
    <t>Joined in 2020, works in Sales</t>
  </si>
  <si>
    <t>E078</t>
  </si>
  <si>
    <t xml:space="preserve">  Usha Bose  </t>
  </si>
  <si>
    <t xml:space="preserve">  usha.bose@company.com  </t>
  </si>
  <si>
    <t>E079</t>
  </si>
  <si>
    <t xml:space="preserve">  Divya Das  </t>
  </si>
  <si>
    <t xml:space="preserve">  divya.das@company.com  </t>
  </si>
  <si>
    <t>Joined in 2022, works in Operations</t>
  </si>
  <si>
    <t>E080</t>
  </si>
  <si>
    <t xml:space="preserve">  Manish Mehta  </t>
  </si>
  <si>
    <t xml:space="preserve">  manish.mehta@company.com  </t>
  </si>
  <si>
    <t>E081</t>
  </si>
  <si>
    <t xml:space="preserve">  Anil Nair  </t>
  </si>
  <si>
    <t xml:space="preserve">  anil.nair@company.com  </t>
  </si>
  <si>
    <t>E082</t>
  </si>
  <si>
    <t xml:space="preserve">  Pallavi Patel  </t>
  </si>
  <si>
    <t xml:space="preserve">  pallavi.patel@company.com  </t>
  </si>
  <si>
    <t>E083</t>
  </si>
  <si>
    <t xml:space="preserve">  Deepa Mehta  </t>
  </si>
  <si>
    <t xml:space="preserve">  deepa.mehta@company.com  </t>
  </si>
  <si>
    <t>E084</t>
  </si>
  <si>
    <t xml:space="preserve">  Lakshmi Singh  </t>
  </si>
  <si>
    <t xml:space="preserve">  lakshmi.singh@company.com  </t>
  </si>
  <si>
    <t>E085</t>
  </si>
  <si>
    <t xml:space="preserve">  Nikhil Gupta  </t>
  </si>
  <si>
    <t xml:space="preserve">  nikhil.gupta@company.com  </t>
  </si>
  <si>
    <t>E086</t>
  </si>
  <si>
    <t xml:space="preserve">  Pooja Shah  </t>
  </si>
  <si>
    <t xml:space="preserve">  pooja.shah@company.com  </t>
  </si>
  <si>
    <t>E087</t>
  </si>
  <si>
    <t>Akash</t>
  </si>
  <si>
    <t xml:space="preserve">  Akash Iyer  </t>
  </si>
  <si>
    <t xml:space="preserve">  akash.iyer@company.com  </t>
  </si>
  <si>
    <t>E088</t>
  </si>
  <si>
    <t xml:space="preserve">  Gaurav Das  </t>
  </si>
  <si>
    <t xml:space="preserve">  gaurav.das@company.com  </t>
  </si>
  <si>
    <t>Joined in 2020, works in Finance</t>
  </si>
  <si>
    <t>E089</t>
  </si>
  <si>
    <t xml:space="preserve">  Harsh Rao  </t>
  </si>
  <si>
    <t xml:space="preserve">  harsh.rao@company.com  </t>
  </si>
  <si>
    <t>E090</t>
  </si>
  <si>
    <t xml:space="preserve">  Anjali Mehta  </t>
  </si>
  <si>
    <t xml:space="preserve">  anjali.mehta@company.com  </t>
  </si>
  <si>
    <t>Joined in 2019, works in Legal</t>
  </si>
  <si>
    <t>E091</t>
  </si>
  <si>
    <t>E092</t>
  </si>
  <si>
    <t xml:space="preserve">  Arjun Iyer  </t>
  </si>
  <si>
    <t xml:space="preserve">  arjun.iyer@company.com  </t>
  </si>
  <si>
    <t>Joined in 2018, works in Marketing</t>
  </si>
  <si>
    <t>E093</t>
  </si>
  <si>
    <t>Joined in 2022, works in IT</t>
  </si>
  <si>
    <t>E094</t>
  </si>
  <si>
    <t xml:space="preserve">  Yash Rao  </t>
  </si>
  <si>
    <t xml:space="preserve">  yash.rao@company.com  </t>
  </si>
  <si>
    <t>E095</t>
  </si>
  <si>
    <t xml:space="preserve">  Nisha Reddy  </t>
  </si>
  <si>
    <t xml:space="preserve">  nisha.reddy@company.com  </t>
  </si>
  <si>
    <t>E096</t>
  </si>
  <si>
    <t xml:space="preserve">  Jyoti Agarwal  </t>
  </si>
  <si>
    <t xml:space="preserve">  jyoti.agarwal@company.com  </t>
  </si>
  <si>
    <t>Joined in 2014, works in Operations</t>
  </si>
  <si>
    <t>E097</t>
  </si>
  <si>
    <t xml:space="preserve">  Karan Singh  </t>
  </si>
  <si>
    <t xml:space="preserve">  karan.singh@company.com  </t>
  </si>
  <si>
    <t>E098</t>
  </si>
  <si>
    <t xml:space="preserve">  Nikhil Joshi  </t>
  </si>
  <si>
    <t xml:space="preserve">  nikhil.joshi@company.com  </t>
  </si>
  <si>
    <t>E099</t>
  </si>
  <si>
    <t xml:space="preserve">  Rohan Joshi  </t>
  </si>
  <si>
    <t xml:space="preserve">  rohan.joshi@company.com  </t>
  </si>
  <si>
    <t>Joined in 2014, works in Marketing</t>
  </si>
  <si>
    <t>E100</t>
  </si>
  <si>
    <t xml:space="preserve">  Harsh Patel  </t>
  </si>
  <si>
    <t xml:space="preserve">  harsh.patel@company.com  </t>
  </si>
  <si>
    <t>total_salary</t>
  </si>
  <si>
    <t>total_salary after 2015</t>
  </si>
  <si>
    <t>total_salary of finance department</t>
  </si>
  <si>
    <t>avg_salary</t>
  </si>
  <si>
    <t>avg age of employee</t>
  </si>
  <si>
    <t>avg_rating_emp_it</t>
  </si>
  <si>
    <t>salary_count</t>
  </si>
  <si>
    <t>count_unique_emp_id</t>
  </si>
  <si>
    <t>count_age_above_40</t>
  </si>
  <si>
    <t>Score</t>
  </si>
  <si>
    <t>Status</t>
  </si>
  <si>
    <t>Rating_score</t>
  </si>
  <si>
    <t>Max</t>
  </si>
  <si>
    <t>Min_rating</t>
  </si>
  <si>
    <t>youngest_emp_age</t>
  </si>
  <si>
    <t>oldest_emp_age</t>
  </si>
  <si>
    <t>Count how many employees are from "Mumbai"</t>
  </si>
  <si>
    <t>Count how many employees work in "Sales"</t>
  </si>
  <si>
    <t>Count how many employees have a rating above 4.0</t>
  </si>
  <si>
    <t>Count how many employees joined in the year 2020</t>
  </si>
  <si>
    <t>Look up the Department of employee E010</t>
  </si>
  <si>
    <t>Look up the Salary of employee E047</t>
  </si>
  <si>
    <t>Look up the City of employee E085</t>
  </si>
  <si>
    <t>Look up the Rating of employee E001</t>
  </si>
  <si>
    <t>Combine FirstName and LastName into one cell with a space in between</t>
  </si>
  <si>
    <t>Full_name</t>
  </si>
  <si>
    <r>
      <t xml:space="preserve">Create an email format like </t>
    </r>
    <r>
      <rPr>
        <sz val="10"/>
        <color theme="1"/>
        <rFont val="Arial Unicode MS"/>
      </rPr>
      <t>firstname.lastname@company.com</t>
    </r>
  </si>
  <si>
    <t>Cus_email</t>
  </si>
  <si>
    <r>
      <t xml:space="preserve">Combine City and Department into one cell like </t>
    </r>
    <r>
      <rPr>
        <sz val="10"/>
        <color theme="1"/>
        <rFont val="Arial Unicode MS"/>
      </rPr>
      <t>Mumbai - IT</t>
    </r>
  </si>
  <si>
    <t>City_Dept</t>
  </si>
  <si>
    <t>Find the length of each employee's raw email in column K (before trimming)</t>
  </si>
  <si>
    <t>Find the length of the FullName in column J (with spaces)</t>
  </si>
  <si>
    <t>Compare LEN of raw email vs LEN after TRIM to see the difference</t>
  </si>
  <si>
    <t>Len_row_mail</t>
  </si>
  <si>
    <t>Len_full_name</t>
  </si>
  <si>
    <t>trim_len_row_mail</t>
  </si>
  <si>
    <t>Clean the FullName column (J) using TRIM and display the result</t>
  </si>
  <si>
    <t>compare len of main</t>
  </si>
  <si>
    <t>Senior/Junior</t>
  </si>
  <si>
    <t>Trimed_mail</t>
  </si>
  <si>
    <t>Trimed_name</t>
  </si>
  <si>
    <t>Len_trimed_mail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</si>
</sst>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ACBCA-5F11-457F-9DD9-1DC917B8B101}" name="Table1" displayName="Table1" ref="A1:Z101" totalsRowShown="0">
  <autoFilter ref="A1:Z101" xr:uid="{8E4ACBCA-5F11-457F-9DD9-1DC917B8B101}"/>
  <tableColumns count="26">
    <tableColumn id="1" xr3:uid="{87C2DEC8-2B51-4AE7-AD9D-2894AA992B2D}" name="EmpID"/>
    <tableColumn id="2" xr3:uid="{ECD4F97D-0572-4E81-8BE9-BE90B7D9F0BA}" name="FirstName"/>
    <tableColumn id="3" xr3:uid="{0DBDEBCF-2184-46BC-8105-0EDC6EE2BE1D}" name="LastName"/>
    <tableColumn id="4" xr3:uid="{D28C493D-9AD6-48B2-90AB-B3EC710D0221}" name="Department"/>
    <tableColumn id="5" xr3:uid="{69CE1531-10E9-4D80-9DDB-8E25525EDDCB}" name="City"/>
    <tableColumn id="6" xr3:uid="{E0534364-FF57-42AC-894D-E0AB14035557}" name="Salary"/>
    <tableColumn id="7" xr3:uid="{80C4CFB7-1D7A-4217-BB52-E6AF4A032B33}" name="Age"/>
    <tableColumn id="8" xr3:uid="{F5D8E223-F339-4164-9134-6110FF1F5583}" name="JoiningYear"/>
    <tableColumn id="29" xr3:uid="{BE4A00EC-0319-4377-AE44-78047454AD03}" name="Senior/Junior" dataDxfId="0">
      <calculatedColumnFormula>IF(Table1[[#This Row],[JoiningYear]]&lt;2015,"senior","junior")</calculatedColumnFormula>
    </tableColumn>
    <tableColumn id="9" xr3:uid="{040BA5A8-FBA6-4262-BC4A-F6B960D709DA}" name="Rating"/>
    <tableColumn id="10" xr3:uid="{DC9321C3-6391-4BE2-9419-B580747F4D63}" name="FullName"/>
    <tableColumn id="11" xr3:uid="{FB4B9C18-5BE3-4C75-BA73-EFB3FC4839A0}" name="EmailRaw"/>
    <tableColumn id="12" xr3:uid="{EC2600D9-57F9-493C-B187-3FDBBE44B03B}" name="Notes"/>
    <tableColumn id="14" xr3:uid="{C3D0311D-0D53-476F-A059-90AF3C724A25}" name="Score">
      <calculatedColumnFormula>IF(Table1[[#This Row],[Salary]]&gt;70000,"high","low")</calculatedColumnFormula>
    </tableColumn>
    <tableColumn id="16" xr3:uid="{71FE04B6-38E6-4E8E-9982-4BA6ECC0AD17}" name="Rating_score" dataDxfId="12">
      <calculatedColumnFormula>IF(Table1[[#This Row],[Rating]]&gt;=4,"Top performance","Average")</calculatedColumnFormula>
    </tableColumn>
    <tableColumn id="17" xr3:uid="{F4583230-0194-4F71-9837-6ADE12E308C6}" name="Status" dataDxfId="11">
      <calculatedColumnFormula>IF(Table1[[#This Row],[JoiningYear]]&lt;2015,"Senior","Junior")</calculatedColumnFormula>
    </tableColumn>
    <tableColumn id="18" xr3:uid="{76EBC15E-BBCC-4137-85C4-2AB49D6FC66D}" name="Full_name" dataDxfId="10">
      <calculatedColumnFormula>_xlfn.CONCAT(Table1[[#This Row],[FirstName]]," ",Table1[[#This Row],[LastName]])</calculatedColumnFormula>
    </tableColumn>
    <tableColumn id="19" xr3:uid="{113B8DD4-0624-4E8A-9AB9-A88B5181FCF4}" name="Cus_email" dataDxfId="9">
      <calculatedColumnFormula>_xlfn.CONCAT(LOWER(Table1[[#This Row],[FirstName]]),".",LOWER(Table1[[#This Row],[LastName]]),"@company.com")</calculatedColumnFormula>
    </tableColumn>
    <tableColumn id="20" xr3:uid="{5F87D8D0-046E-4048-B527-C2C94D1C1AFD}" name="City_Dept" dataDxfId="8">
      <calculatedColumnFormula>_xlfn.CONCAT(Table1[[#This Row],[City]],"-",Table1[[#This Row],[Department]])</calculatedColumnFormula>
    </tableColumn>
    <tableColumn id="21" xr3:uid="{6952E1BB-6726-4539-868A-1F08ED401B9C}" name="Len_row_mail" dataDxfId="7">
      <calculatedColumnFormula>LEN(Table1[[#This Row],[EmailRaw]])</calculatedColumnFormula>
    </tableColumn>
    <tableColumn id="22" xr3:uid="{47DDAECC-40C6-47CF-AB92-1DAD9F4F73C0}" name="Len_full_name" dataDxfId="6">
      <calculatedColumnFormula>LEN(Table1[[#This Row],[Full_name]])</calculatedColumnFormula>
    </tableColumn>
    <tableColumn id="23" xr3:uid="{90BE06E0-8BC2-4556-9562-E9F34645988E}" name="trim_len_row_mail" dataDxfId="5">
      <calculatedColumnFormula>LEN(TRIM(Table1[[#This Row],[EmailRaw]]))</calculatedColumnFormula>
    </tableColumn>
    <tableColumn id="24" xr3:uid="{957B8F61-5F47-40BA-9611-F7436940A62F}" name="compare len of main" dataDxfId="4">
      <calculatedColumnFormula>Table1[[#This Row],[Len_row_mail]]-Table1[[#This Row],[trim_len_row_mail]]</calculatedColumnFormula>
    </tableColumn>
    <tableColumn id="25" xr3:uid="{43FCFBB5-8E7F-415B-A72B-115897CD3EA7}" name="Trimed_name" dataDxfId="3">
      <calculatedColumnFormula>TRIM(Table1[[#This Row],[Full_name]])</calculatedColumnFormula>
    </tableColumn>
    <tableColumn id="26" xr3:uid="{3EBDF843-96EE-4C2B-B2F2-76988A788B55}" name="Trimed_mail" dataDxfId="2">
      <calculatedColumnFormula>TRIM(Table1[[#This Row],[EmailRaw]])</calculatedColumnFormula>
    </tableColumn>
    <tableColumn id="27" xr3:uid="{9818366B-B43D-4FDA-9FC9-9DEBF69CF051}" name="Len_trimed_mail" dataDxfId="1">
      <calculatedColumnFormula>LEN(Table1[[#This Row],[Trimed_mail]])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6"/>
  <sheetViews>
    <sheetView tabSelected="1" topLeftCell="X1" zoomScale="96" workbookViewId="0">
      <selection activeCell="AC19" sqref="AC19"/>
    </sheetView>
  </sheetViews>
  <sheetFormatPr defaultRowHeight="14.4"/>
  <cols>
    <col min="1" max="1" width="9.33203125" bestFit="1" customWidth="1"/>
    <col min="2" max="2" width="12.6640625" bestFit="1" customWidth="1"/>
    <col min="3" max="3" width="12.21875" bestFit="1" customWidth="1"/>
    <col min="4" max="4" width="14.109375" bestFit="1" customWidth="1"/>
    <col min="5" max="5" width="11.33203125" bestFit="1" customWidth="1"/>
    <col min="6" max="6" width="8.88671875" bestFit="1" customWidth="1"/>
    <col min="7" max="7" width="7.109375" bestFit="1" customWidth="1"/>
    <col min="8" max="8" width="13.77734375" bestFit="1" customWidth="1"/>
    <col min="9" max="9" width="15.5546875" bestFit="1" customWidth="1"/>
    <col min="10" max="10" width="9.109375" bestFit="1" customWidth="1"/>
    <col min="11" max="11" width="16.33203125" bestFit="1" customWidth="1"/>
    <col min="12" max="12" width="30.5546875" bestFit="1" customWidth="1"/>
    <col min="13" max="13" width="31.88671875" bestFit="1" customWidth="1"/>
    <col min="14" max="14" width="8.44140625" bestFit="1" customWidth="1"/>
    <col min="15" max="15" width="15.77734375" bestFit="1" customWidth="1"/>
    <col min="16" max="16" width="9" bestFit="1" customWidth="1"/>
    <col min="17" max="17" width="14.6640625" bestFit="1" customWidth="1"/>
    <col min="18" max="18" width="28.88671875" bestFit="1" customWidth="1"/>
    <col min="19" max="19" width="22.109375" bestFit="1" customWidth="1"/>
    <col min="20" max="20" width="16" bestFit="1" customWidth="1"/>
    <col min="21" max="21" width="16.6640625" bestFit="1" customWidth="1"/>
    <col min="22" max="22" width="20.44140625" bestFit="1" customWidth="1"/>
    <col min="23" max="23" width="21.6640625" bestFit="1" customWidth="1"/>
    <col min="24" max="24" width="15.77734375" bestFit="1" customWidth="1"/>
    <col min="25" max="25" width="28.88671875" bestFit="1" customWidth="1"/>
    <col min="26" max="26" width="18.44140625" bestFit="1" customWidth="1"/>
    <col min="27" max="35" width="10.109375" customWidth="1"/>
    <col min="36" max="36" width="68.33203125" bestFit="1" customWidth="1"/>
    <col min="37" max="37" width="20.77734375" bestFit="1" customWidth="1"/>
    <col min="38" max="38" width="31.33203125" bestFit="1" customWidth="1"/>
    <col min="39" max="39" width="15.441406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483</v>
      </c>
      <c r="J1" t="s">
        <v>8</v>
      </c>
      <c r="K1" t="s">
        <v>9</v>
      </c>
      <c r="L1" t="s">
        <v>10</v>
      </c>
      <c r="M1" t="s">
        <v>11</v>
      </c>
      <c r="N1" t="s">
        <v>454</v>
      </c>
      <c r="O1" t="s">
        <v>456</v>
      </c>
      <c r="P1" t="s">
        <v>455</v>
      </c>
      <c r="Q1" t="s">
        <v>470</v>
      </c>
      <c r="R1" t="s">
        <v>472</v>
      </c>
      <c r="S1" t="s">
        <v>474</v>
      </c>
      <c r="T1" t="s">
        <v>478</v>
      </c>
      <c r="U1" t="s">
        <v>479</v>
      </c>
      <c r="V1" t="s">
        <v>480</v>
      </c>
      <c r="W1" t="s">
        <v>482</v>
      </c>
      <c r="X1" t="s">
        <v>485</v>
      </c>
      <c r="Y1" t="s">
        <v>484</v>
      </c>
      <c r="Z1" t="s">
        <v>486</v>
      </c>
      <c r="AJ1" s="2" t="s">
        <v>445</v>
      </c>
      <c r="AK1" s="3" t="s">
        <v>446</v>
      </c>
      <c r="AL1" s="3" t="s">
        <v>447</v>
      </c>
    </row>
    <row r="2" spans="1:39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57098</v>
      </c>
      <c r="G2">
        <v>36</v>
      </c>
      <c r="H2">
        <v>2012</v>
      </c>
      <c r="I2" t="str">
        <f>IF(Table1[[#This Row],[JoiningYear]]&lt;2015,"senior","junior")</f>
        <v>senior</v>
      </c>
      <c r="J2">
        <v>3.9</v>
      </c>
      <c r="K2" t="s">
        <v>17</v>
      </c>
      <c r="L2" t="s">
        <v>18</v>
      </c>
      <c r="M2" t="s">
        <v>19</v>
      </c>
      <c r="N2" t="str">
        <f>IF(Table1[[#This Row],[Salary]]&gt;70000,"high","low")</f>
        <v>low</v>
      </c>
      <c r="O2" t="str">
        <f>IF(Table1[[#This Row],[Rating]]&gt;=4,"Top performance","Average")</f>
        <v>Average</v>
      </c>
      <c r="P2" t="str">
        <f>IF(Table1[[#This Row],[JoiningYear]]&lt;2015,"Senior","Junior")</f>
        <v>Senior</v>
      </c>
      <c r="Q2" t="str">
        <f>_xlfn.CONCAT(Table1[[#This Row],[FirstName]]," ",Table1[[#This Row],[LastName]])</f>
        <v>Gaurav Singh</v>
      </c>
      <c r="R2" s="4" t="str">
        <f>_xlfn.CONCAT(LOWER(Table1[[#This Row],[FirstName]]),".",LOWER(Table1[[#This Row],[LastName]]),"@company.com")</f>
        <v>gaurav.singh@company.com</v>
      </c>
      <c r="S2" s="4" t="str">
        <f>_xlfn.CONCAT(Table1[[#This Row],[City]],"-",Table1[[#This Row],[Department]])</f>
        <v>Chennai-Sales</v>
      </c>
      <c r="T2" s="4">
        <f>LEN(Table1[[#This Row],[EmailRaw]])</f>
        <v>28</v>
      </c>
      <c r="U2" s="4">
        <f>LEN(Table1[[#This Row],[Full_name]])</f>
        <v>12</v>
      </c>
      <c r="V2" s="4">
        <f>LEN(TRIM(Table1[[#This Row],[EmailRaw]]))</f>
        <v>24</v>
      </c>
      <c r="W2" s="4">
        <f>Table1[[#This Row],[Len_row_mail]]-Table1[[#This Row],[trim_len_row_mail]]</f>
        <v>4</v>
      </c>
      <c r="X2" s="4" t="str">
        <f>TRIM(Table1[[#This Row],[Full_name]])</f>
        <v>Gaurav Singh</v>
      </c>
      <c r="Y2" s="4" t="str">
        <f>TRIM(Table1[[#This Row],[EmailRaw]])</f>
        <v>gaurav.singh@company.com</v>
      </c>
      <c r="Z2" s="4">
        <f>LEN(Table1[[#This Row],[Trimed_mail]])</f>
        <v>24</v>
      </c>
      <c r="AA2" s="4"/>
      <c r="AB2" s="4"/>
      <c r="AC2" s="4"/>
      <c r="AD2" s="4"/>
      <c r="AE2" s="4"/>
      <c r="AF2" s="4"/>
      <c r="AG2" s="4"/>
      <c r="AH2" s="4"/>
      <c r="AI2" s="4"/>
      <c r="AJ2">
        <f>SUM(Table1[Salary])</f>
        <v>7104347</v>
      </c>
      <c r="AK2">
        <f>SUMIF(Table1[JoiningYear],"&gt;2015",Table1[Salary])</f>
        <v>3901380</v>
      </c>
      <c r="AL2">
        <f>SUMIF(Table1[Department],"Finance",Table1[Salary])</f>
        <v>513751</v>
      </c>
    </row>
    <row r="3" spans="1:39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80302</v>
      </c>
      <c r="G3">
        <v>24</v>
      </c>
      <c r="H3">
        <v>2010</v>
      </c>
      <c r="I3" t="str">
        <f>IF(Table1[[#This Row],[JoiningYear]]&lt;2015,"senior","junior")</f>
        <v>senior</v>
      </c>
      <c r="J3">
        <v>1.4</v>
      </c>
      <c r="K3" t="s">
        <v>25</v>
      </c>
      <c r="L3" t="s">
        <v>26</v>
      </c>
      <c r="M3" t="s">
        <v>27</v>
      </c>
      <c r="N3" t="str">
        <f>IF(Table1[[#This Row],[Salary]]&gt;70000,"high","low")</f>
        <v>high</v>
      </c>
      <c r="O3" t="str">
        <f>IF(Table1[[#This Row],[Rating]]&gt;=4,"Top performance","Average")</f>
        <v>Average</v>
      </c>
      <c r="P3" t="str">
        <f>IF(Table1[[#This Row],[JoiningYear]]&lt;2015,"Senior","Junior")</f>
        <v>Senior</v>
      </c>
      <c r="Q3" t="str">
        <f>_xlfn.CONCAT(Table1[[#This Row],[FirstName]]," ",Table1[[#This Row],[LastName]])</f>
        <v>Bhavna Agarwal</v>
      </c>
      <c r="R3" s="4" t="str">
        <f>_xlfn.CONCAT(LOWER(Table1[[#This Row],[FirstName]]),".",LOWER(Table1[[#This Row],[LastName]]),"@company.com")</f>
        <v>bhavna.agarwal@company.com</v>
      </c>
      <c r="S3" s="4" t="str">
        <f>_xlfn.CONCAT(Table1[[#This Row],[City]],"-",Table1[[#This Row],[Department]])</f>
        <v>Surat-HR</v>
      </c>
      <c r="T3" s="4">
        <f>LEN(Table1[[#This Row],[EmailRaw]])</f>
        <v>30</v>
      </c>
      <c r="U3" s="4">
        <f>LEN(Table1[[#This Row],[Full_name]])</f>
        <v>14</v>
      </c>
      <c r="V3" s="4">
        <f>LEN(TRIM(Table1[[#This Row],[EmailRaw]]))</f>
        <v>26</v>
      </c>
      <c r="W3" s="4">
        <f>Table1[[#This Row],[Len_row_mail]]-Table1[[#This Row],[trim_len_row_mail]]</f>
        <v>4</v>
      </c>
      <c r="X3" s="4" t="str">
        <f>TRIM(Table1[[#This Row],[Full_name]])</f>
        <v>Bhavna Agarwal</v>
      </c>
      <c r="Y3" s="4" t="str">
        <f>TRIM(Table1[[#This Row],[EmailRaw]])</f>
        <v>bhavna.agarwal@company.com</v>
      </c>
      <c r="Z3" s="4">
        <f>LEN(Table1[[#This Row],[Trimed_mail]])</f>
        <v>26</v>
      </c>
      <c r="AA3" s="4"/>
      <c r="AB3" s="4"/>
      <c r="AC3" s="4"/>
      <c r="AD3" s="4"/>
      <c r="AE3" s="4"/>
      <c r="AF3" s="4"/>
      <c r="AG3" s="4"/>
      <c r="AH3" s="4"/>
      <c r="AI3" s="4"/>
    </row>
    <row r="4" spans="1:39">
      <c r="A4" t="s">
        <v>28</v>
      </c>
      <c r="B4" t="s">
        <v>29</v>
      </c>
      <c r="C4" t="s">
        <v>30</v>
      </c>
      <c r="D4" t="s">
        <v>15</v>
      </c>
      <c r="E4" t="s">
        <v>31</v>
      </c>
      <c r="F4">
        <v>51062</v>
      </c>
      <c r="G4">
        <v>56</v>
      </c>
      <c r="H4">
        <v>2016</v>
      </c>
      <c r="I4" t="str">
        <f>IF(Table1[[#This Row],[JoiningYear]]&lt;2015,"senior","junior")</f>
        <v>junior</v>
      </c>
      <c r="J4">
        <v>1.9</v>
      </c>
      <c r="K4" t="s">
        <v>32</v>
      </c>
      <c r="L4" t="s">
        <v>33</v>
      </c>
      <c r="M4" t="s">
        <v>34</v>
      </c>
      <c r="N4" t="str">
        <f>IF(Table1[[#This Row],[Salary]]&gt;70000,"high","low")</f>
        <v>low</v>
      </c>
      <c r="O4" t="str">
        <f>IF(Table1[[#This Row],[Rating]]&gt;=4,"Top performance","Average")</f>
        <v>Average</v>
      </c>
      <c r="P4" t="str">
        <f>IF(Table1[[#This Row],[JoiningYear]]&lt;2015,"Senior","Junior")</f>
        <v>Junior</v>
      </c>
      <c r="Q4" t="str">
        <f>_xlfn.CONCAT(Table1[[#This Row],[FirstName]]," ",Table1[[#This Row],[LastName]])</f>
        <v>Karan Pillai</v>
      </c>
      <c r="R4" s="4" t="str">
        <f>_xlfn.CONCAT(LOWER(Table1[[#This Row],[FirstName]]),".",LOWER(Table1[[#This Row],[LastName]]),"@company.com")</f>
        <v>karan.pillai@company.com</v>
      </c>
      <c r="S4" s="4" t="str">
        <f>_xlfn.CONCAT(Table1[[#This Row],[City]],"-",Table1[[#This Row],[Department]])</f>
        <v>Ahmedabad-Sales</v>
      </c>
      <c r="T4" s="4">
        <f>LEN(Table1[[#This Row],[EmailRaw]])</f>
        <v>28</v>
      </c>
      <c r="U4" s="4">
        <f>LEN(Table1[[#This Row],[Full_name]])</f>
        <v>12</v>
      </c>
      <c r="V4" s="4">
        <f>LEN(TRIM(Table1[[#This Row],[EmailRaw]]))</f>
        <v>24</v>
      </c>
      <c r="W4" s="4">
        <f>Table1[[#This Row],[Len_row_mail]]-Table1[[#This Row],[trim_len_row_mail]]</f>
        <v>4</v>
      </c>
      <c r="X4" s="4" t="str">
        <f>TRIM(Table1[[#This Row],[Full_name]])</f>
        <v>Karan Pillai</v>
      </c>
      <c r="Y4" s="4" t="str">
        <f>TRIM(Table1[[#This Row],[EmailRaw]])</f>
        <v>karan.pillai@company.com</v>
      </c>
      <c r="Z4" s="4">
        <f>LEN(Table1[[#This Row],[Trimed_mail]])</f>
        <v>24</v>
      </c>
      <c r="AA4" s="4"/>
      <c r="AB4" s="4"/>
      <c r="AC4" s="4"/>
      <c r="AD4" s="4"/>
      <c r="AE4" s="4"/>
      <c r="AF4" s="4"/>
      <c r="AG4" s="4"/>
      <c r="AH4" s="4"/>
      <c r="AI4" s="4"/>
      <c r="AJ4" s="2" t="s">
        <v>448</v>
      </c>
      <c r="AK4" s="2" t="s">
        <v>449</v>
      </c>
      <c r="AL4" s="2" t="s">
        <v>450</v>
      </c>
    </row>
    <row r="5" spans="1:39">
      <c r="A5" t="s">
        <v>35</v>
      </c>
      <c r="B5" t="s">
        <v>36</v>
      </c>
      <c r="C5" t="s">
        <v>37</v>
      </c>
      <c r="D5" t="s">
        <v>15</v>
      </c>
      <c r="E5" t="s">
        <v>38</v>
      </c>
      <c r="F5">
        <v>116506</v>
      </c>
      <c r="G5">
        <v>49</v>
      </c>
      <c r="H5">
        <v>2015</v>
      </c>
      <c r="I5" t="str">
        <f>IF(Table1[[#This Row],[JoiningYear]]&lt;2015,"senior","junior")</f>
        <v>junior</v>
      </c>
      <c r="J5">
        <v>2.1</v>
      </c>
      <c r="K5" t="s">
        <v>39</v>
      </c>
      <c r="L5" t="s">
        <v>40</v>
      </c>
      <c r="M5" t="s">
        <v>41</v>
      </c>
      <c r="N5" t="str">
        <f>IF(Table1[[#This Row],[Salary]]&gt;70000,"high","low")</f>
        <v>high</v>
      </c>
      <c r="O5" t="str">
        <f>IF(Table1[[#This Row],[Rating]]&gt;=4,"Top performance","Average")</f>
        <v>Average</v>
      </c>
      <c r="P5" t="str">
        <f>IF(Table1[[#This Row],[JoiningYear]]&lt;2015,"Senior","Junior")</f>
        <v>Junior</v>
      </c>
      <c r="Q5" t="str">
        <f>_xlfn.CONCAT(Table1[[#This Row],[FirstName]]," ",Table1[[#This Row],[LastName]])</f>
        <v>Shweta Mehta</v>
      </c>
      <c r="R5" s="4" t="str">
        <f>_xlfn.CONCAT(LOWER(Table1[[#This Row],[FirstName]]),".",LOWER(Table1[[#This Row],[LastName]]),"@company.com")</f>
        <v>shweta.mehta@company.com</v>
      </c>
      <c r="S5" s="4" t="str">
        <f>_xlfn.CONCAT(Table1[[#This Row],[City]],"-",Table1[[#This Row],[Department]])</f>
        <v>Bangalore-Sales</v>
      </c>
      <c r="T5" s="4">
        <f>LEN(Table1[[#This Row],[EmailRaw]])</f>
        <v>28</v>
      </c>
      <c r="U5" s="4">
        <f>LEN(Table1[[#This Row],[Full_name]])</f>
        <v>12</v>
      </c>
      <c r="V5" s="4">
        <f>LEN(TRIM(Table1[[#This Row],[EmailRaw]]))</f>
        <v>24</v>
      </c>
      <c r="W5" s="4">
        <f>Table1[[#This Row],[Len_row_mail]]-Table1[[#This Row],[trim_len_row_mail]]</f>
        <v>4</v>
      </c>
      <c r="X5" s="4" t="str">
        <f>TRIM(Table1[[#This Row],[Full_name]])</f>
        <v>Shweta Mehta</v>
      </c>
      <c r="Y5" s="4" t="str">
        <f>TRIM(Table1[[#This Row],[EmailRaw]])</f>
        <v>shweta.mehta@company.com</v>
      </c>
      <c r="Z5" s="4">
        <f>LEN(Table1[[#This Row],[Trimed_mail]])</f>
        <v>24</v>
      </c>
      <c r="AA5" s="4"/>
      <c r="AB5" s="4"/>
      <c r="AC5" s="4"/>
      <c r="AD5" s="4"/>
      <c r="AE5" s="4"/>
      <c r="AF5" s="4"/>
      <c r="AG5" s="4"/>
      <c r="AH5" s="4"/>
      <c r="AI5" s="4"/>
      <c r="AJ5">
        <f>AVERAGE(Table1[Salary])</f>
        <v>71043.47</v>
      </c>
      <c r="AK5">
        <f>AVERAGE(Table1[Age])</f>
        <v>40.520000000000003</v>
      </c>
      <c r="AL5">
        <f>AVERAGEIF(Table1[Department],"IT",Table1[Rating])</f>
        <v>3.0142857142857147</v>
      </c>
    </row>
    <row r="6" spans="1:39">
      <c r="A6" t="s">
        <v>42</v>
      </c>
      <c r="B6" t="s">
        <v>43</v>
      </c>
      <c r="C6" t="s">
        <v>44</v>
      </c>
      <c r="D6" t="s">
        <v>23</v>
      </c>
      <c r="E6" t="s">
        <v>45</v>
      </c>
      <c r="F6">
        <v>74797</v>
      </c>
      <c r="G6">
        <v>28</v>
      </c>
      <c r="H6">
        <v>2015</v>
      </c>
      <c r="I6" t="str">
        <f>IF(Table1[[#This Row],[JoiningYear]]&lt;2015,"senior","junior")</f>
        <v>junior</v>
      </c>
      <c r="J6">
        <v>4.4000000000000004</v>
      </c>
      <c r="K6" t="s">
        <v>46</v>
      </c>
      <c r="L6" t="s">
        <v>47</v>
      </c>
      <c r="M6" t="s">
        <v>48</v>
      </c>
      <c r="N6" t="str">
        <f>IF(Table1[[#This Row],[Salary]]&gt;70000,"high","low")</f>
        <v>high</v>
      </c>
      <c r="O6" t="str">
        <f>IF(Table1[[#This Row],[Rating]]&gt;=4,"Top performance","Average")</f>
        <v>Top performance</v>
      </c>
      <c r="P6" t="str">
        <f>IF(Table1[[#This Row],[JoiningYear]]&lt;2015,"Senior","Junior")</f>
        <v>Junior</v>
      </c>
      <c r="Q6" t="str">
        <f>_xlfn.CONCAT(Table1[[#This Row],[FirstName]]," ",Table1[[#This Row],[LastName]])</f>
        <v>Divya Iyer</v>
      </c>
      <c r="R6" s="4" t="str">
        <f>_xlfn.CONCAT(LOWER(Table1[[#This Row],[FirstName]]),".",LOWER(Table1[[#This Row],[LastName]]),"@company.com")</f>
        <v>divya.iyer@company.com</v>
      </c>
      <c r="S6" s="4" t="str">
        <f>_xlfn.CONCAT(Table1[[#This Row],[City]],"-",Table1[[#This Row],[Department]])</f>
        <v>Delhi-HR</v>
      </c>
      <c r="T6" s="4">
        <f>LEN(Table1[[#This Row],[EmailRaw]])</f>
        <v>26</v>
      </c>
      <c r="U6" s="4">
        <f>LEN(Table1[[#This Row],[Full_name]])</f>
        <v>10</v>
      </c>
      <c r="V6" s="4">
        <f>LEN(TRIM(Table1[[#This Row],[EmailRaw]]))</f>
        <v>22</v>
      </c>
      <c r="W6" s="4">
        <f>Table1[[#This Row],[Len_row_mail]]-Table1[[#This Row],[trim_len_row_mail]]</f>
        <v>4</v>
      </c>
      <c r="X6" s="4" t="str">
        <f>TRIM(Table1[[#This Row],[Full_name]])</f>
        <v>Divya Iyer</v>
      </c>
      <c r="Y6" s="4" t="str">
        <f>TRIM(Table1[[#This Row],[EmailRaw]])</f>
        <v>divya.iyer@company.com</v>
      </c>
      <c r="Z6" s="4">
        <f>LEN(Table1[[#This Row],[Trimed_mail]])</f>
        <v>22</v>
      </c>
      <c r="AA6" s="4"/>
      <c r="AB6" s="4"/>
      <c r="AC6" s="4"/>
      <c r="AD6" s="4"/>
      <c r="AE6" s="4"/>
      <c r="AF6" s="4"/>
      <c r="AG6" s="4"/>
      <c r="AH6" s="4"/>
      <c r="AI6" s="4"/>
    </row>
    <row r="7" spans="1:39">
      <c r="A7" t="s">
        <v>49</v>
      </c>
      <c r="B7" t="s">
        <v>50</v>
      </c>
      <c r="C7" t="s">
        <v>37</v>
      </c>
      <c r="D7" t="s">
        <v>15</v>
      </c>
      <c r="E7" t="s">
        <v>51</v>
      </c>
      <c r="F7">
        <v>95284</v>
      </c>
      <c r="G7">
        <v>29</v>
      </c>
      <c r="H7">
        <v>2016</v>
      </c>
      <c r="I7" t="str">
        <f>IF(Table1[[#This Row],[JoiningYear]]&lt;2015,"senior","junior")</f>
        <v>junior</v>
      </c>
      <c r="J7">
        <v>1.3</v>
      </c>
      <c r="K7" t="s">
        <v>52</v>
      </c>
      <c r="L7" t="s">
        <v>53</v>
      </c>
      <c r="M7" t="s">
        <v>34</v>
      </c>
      <c r="N7" t="str">
        <f>IF(Table1[[#This Row],[Salary]]&gt;70000,"high","low")</f>
        <v>high</v>
      </c>
      <c r="O7" t="str">
        <f>IF(Table1[[#This Row],[Rating]]&gt;=4,"Top performance","Average")</f>
        <v>Average</v>
      </c>
      <c r="P7" t="str">
        <f>IF(Table1[[#This Row],[JoiningYear]]&lt;2015,"Senior","Junior")</f>
        <v>Junior</v>
      </c>
      <c r="Q7" t="str">
        <f>_xlfn.CONCAT(Table1[[#This Row],[FirstName]]," ",Table1[[#This Row],[LastName]])</f>
        <v>Mohit Mehta</v>
      </c>
      <c r="R7" s="4" t="str">
        <f>_xlfn.CONCAT(LOWER(Table1[[#This Row],[FirstName]]),".",LOWER(Table1[[#This Row],[LastName]]),"@company.com")</f>
        <v>mohit.mehta@company.com</v>
      </c>
      <c r="S7" s="4" t="str">
        <f>_xlfn.CONCAT(Table1[[#This Row],[City]],"-",Table1[[#This Row],[Department]])</f>
        <v>Jaipur-Sales</v>
      </c>
      <c r="T7" s="4">
        <f>LEN(Table1[[#This Row],[EmailRaw]])</f>
        <v>27</v>
      </c>
      <c r="U7" s="4">
        <f>LEN(Table1[[#This Row],[Full_name]])</f>
        <v>11</v>
      </c>
      <c r="V7" s="4">
        <f>LEN(TRIM(Table1[[#This Row],[EmailRaw]]))</f>
        <v>23</v>
      </c>
      <c r="W7" s="4">
        <f>Table1[[#This Row],[Len_row_mail]]-Table1[[#This Row],[trim_len_row_mail]]</f>
        <v>4</v>
      </c>
      <c r="X7" s="4" t="str">
        <f>TRIM(Table1[[#This Row],[Full_name]])</f>
        <v>Mohit Mehta</v>
      </c>
      <c r="Y7" s="4" t="str">
        <f>TRIM(Table1[[#This Row],[EmailRaw]])</f>
        <v>mohit.mehta@company.com</v>
      </c>
      <c r="Z7" s="4">
        <f>LEN(Table1[[#This Row],[Trimed_mail]])</f>
        <v>23</v>
      </c>
      <c r="AA7" s="4"/>
      <c r="AB7" s="4"/>
      <c r="AC7" s="4"/>
      <c r="AD7" s="4"/>
      <c r="AE7" s="4"/>
      <c r="AF7" s="4"/>
      <c r="AG7" s="4"/>
      <c r="AH7" s="4"/>
      <c r="AI7" s="4"/>
      <c r="AJ7" s="2" t="s">
        <v>451</v>
      </c>
      <c r="AK7" s="2" t="s">
        <v>452</v>
      </c>
      <c r="AL7" s="2" t="s">
        <v>453</v>
      </c>
    </row>
    <row r="8" spans="1:39">
      <c r="A8" t="s">
        <v>54</v>
      </c>
      <c r="B8" t="s">
        <v>55</v>
      </c>
      <c r="C8" t="s">
        <v>56</v>
      </c>
      <c r="D8" t="s">
        <v>57</v>
      </c>
      <c r="E8" t="s">
        <v>24</v>
      </c>
      <c r="F8">
        <v>50203</v>
      </c>
      <c r="G8">
        <v>26</v>
      </c>
      <c r="H8">
        <v>2010</v>
      </c>
      <c r="I8" t="str">
        <f>IF(Table1[[#This Row],[JoiningYear]]&lt;2015,"senior","junior")</f>
        <v>senior</v>
      </c>
      <c r="J8">
        <v>3.6</v>
      </c>
      <c r="K8" t="s">
        <v>58</v>
      </c>
      <c r="L8" t="s">
        <v>59</v>
      </c>
      <c r="M8" t="s">
        <v>60</v>
      </c>
      <c r="N8" t="str">
        <f>IF(Table1[[#This Row],[Salary]]&gt;70000,"high","low")</f>
        <v>low</v>
      </c>
      <c r="O8" t="str">
        <f>IF(Table1[[#This Row],[Rating]]&gt;=4,"Top performance","Average")</f>
        <v>Average</v>
      </c>
      <c r="P8" t="str">
        <f>IF(Table1[[#This Row],[JoiningYear]]&lt;2015,"Senior","Junior")</f>
        <v>Senior</v>
      </c>
      <c r="Q8" t="str">
        <f>_xlfn.CONCAT(Table1[[#This Row],[FirstName]]," ",Table1[[#This Row],[LastName]])</f>
        <v>Ravi Sinha</v>
      </c>
      <c r="R8" s="4" t="str">
        <f>_xlfn.CONCAT(LOWER(Table1[[#This Row],[FirstName]]),".",LOWER(Table1[[#This Row],[LastName]]),"@company.com")</f>
        <v>ravi.sinha@company.com</v>
      </c>
      <c r="S8" s="4" t="str">
        <f>_xlfn.CONCAT(Table1[[#This Row],[City]],"-",Table1[[#This Row],[Department]])</f>
        <v>Surat-Operations</v>
      </c>
      <c r="T8" s="4">
        <f>LEN(Table1[[#This Row],[EmailRaw]])</f>
        <v>26</v>
      </c>
      <c r="U8" s="4">
        <f>LEN(Table1[[#This Row],[Full_name]])</f>
        <v>10</v>
      </c>
      <c r="V8" s="4">
        <f>LEN(TRIM(Table1[[#This Row],[EmailRaw]]))</f>
        <v>22</v>
      </c>
      <c r="W8" s="4">
        <f>Table1[[#This Row],[Len_row_mail]]-Table1[[#This Row],[trim_len_row_mail]]</f>
        <v>4</v>
      </c>
      <c r="X8" s="4" t="str">
        <f>TRIM(Table1[[#This Row],[Full_name]])</f>
        <v>Ravi Sinha</v>
      </c>
      <c r="Y8" s="4" t="str">
        <f>TRIM(Table1[[#This Row],[EmailRaw]])</f>
        <v>ravi.sinha@company.com</v>
      </c>
      <c r="Z8" s="4">
        <f>LEN(Table1[[#This Row],[Trimed_mail]])</f>
        <v>22</v>
      </c>
      <c r="AA8" s="4"/>
      <c r="AB8" s="4"/>
      <c r="AC8" s="4"/>
      <c r="AD8" s="4"/>
      <c r="AE8" s="4"/>
      <c r="AF8" s="4"/>
      <c r="AG8" s="4"/>
      <c r="AH8" s="4"/>
      <c r="AI8" s="4"/>
      <c r="AJ8">
        <f>COUNT(Table1[Salary])</f>
        <v>100</v>
      </c>
      <c r="AK8">
        <f>COUNTA(_xlfn.UNIQUE(Table1[EmpID]))</f>
        <v>100</v>
      </c>
      <c r="AL8">
        <f>COUNTIF(Table1[Age],"&gt;40")</f>
        <v>47</v>
      </c>
    </row>
    <row r="9" spans="1:39">
      <c r="A9" t="s">
        <v>61</v>
      </c>
      <c r="B9" t="s">
        <v>62</v>
      </c>
      <c r="C9" t="s">
        <v>63</v>
      </c>
      <c r="D9" t="s">
        <v>23</v>
      </c>
      <c r="E9" t="s">
        <v>64</v>
      </c>
      <c r="F9">
        <v>38238</v>
      </c>
      <c r="G9">
        <v>46</v>
      </c>
      <c r="H9">
        <v>2014</v>
      </c>
      <c r="I9" t="str">
        <f>IF(Table1[[#This Row],[JoiningYear]]&lt;2015,"senior","junior")</f>
        <v>senior</v>
      </c>
      <c r="J9">
        <v>2.8</v>
      </c>
      <c r="K9" t="s">
        <v>65</v>
      </c>
      <c r="L9" t="s">
        <v>66</v>
      </c>
      <c r="M9" t="s">
        <v>67</v>
      </c>
      <c r="N9" t="str">
        <f>IF(Table1[[#This Row],[Salary]]&gt;70000,"high","low")</f>
        <v>low</v>
      </c>
      <c r="O9" t="str">
        <f>IF(Table1[[#This Row],[Rating]]&gt;=4,"Top performance","Average")</f>
        <v>Average</v>
      </c>
      <c r="P9" t="str">
        <f>IF(Table1[[#This Row],[JoiningYear]]&lt;2015,"Senior","Junior")</f>
        <v>Senior</v>
      </c>
      <c r="Q9" t="str">
        <f>_xlfn.CONCAT(Table1[[#This Row],[FirstName]]," ",Table1[[#This Row],[LastName]])</f>
        <v>Neha Reddy</v>
      </c>
      <c r="R9" s="4" t="str">
        <f>_xlfn.CONCAT(LOWER(Table1[[#This Row],[FirstName]]),".",LOWER(Table1[[#This Row],[LastName]]),"@company.com")</f>
        <v>neha.reddy@company.com</v>
      </c>
      <c r="S9" s="4" t="str">
        <f>_xlfn.CONCAT(Table1[[#This Row],[City]],"-",Table1[[#This Row],[Department]])</f>
        <v>Hyderabad-HR</v>
      </c>
      <c r="T9" s="4">
        <f>LEN(Table1[[#This Row],[EmailRaw]])</f>
        <v>26</v>
      </c>
      <c r="U9" s="4">
        <f>LEN(Table1[[#This Row],[Full_name]])</f>
        <v>10</v>
      </c>
      <c r="V9" s="4">
        <f>LEN(TRIM(Table1[[#This Row],[EmailRaw]]))</f>
        <v>22</v>
      </c>
      <c r="W9" s="4">
        <f>Table1[[#This Row],[Len_row_mail]]-Table1[[#This Row],[trim_len_row_mail]]</f>
        <v>4</v>
      </c>
      <c r="X9" s="4" t="str">
        <f>TRIM(Table1[[#This Row],[Full_name]])</f>
        <v>Neha Reddy</v>
      </c>
      <c r="Y9" s="4" t="str">
        <f>TRIM(Table1[[#This Row],[EmailRaw]])</f>
        <v>neha.reddy@company.com</v>
      </c>
      <c r="Z9" s="4">
        <f>LEN(Table1[[#This Row],[Trimed_mail]])</f>
        <v>22</v>
      </c>
      <c r="AA9" s="4"/>
      <c r="AB9" s="4"/>
      <c r="AC9" s="4"/>
      <c r="AD9" s="4"/>
      <c r="AE9" s="4"/>
      <c r="AF9" s="4"/>
      <c r="AG9" s="4"/>
      <c r="AH9" s="4"/>
      <c r="AI9" s="4"/>
    </row>
    <row r="10" spans="1:39">
      <c r="A10" t="s">
        <v>68</v>
      </c>
      <c r="B10" t="s">
        <v>69</v>
      </c>
      <c r="C10" t="s">
        <v>70</v>
      </c>
      <c r="D10" t="s">
        <v>57</v>
      </c>
      <c r="E10" t="s">
        <v>71</v>
      </c>
      <c r="F10">
        <v>52460</v>
      </c>
      <c r="G10">
        <v>39</v>
      </c>
      <c r="H10">
        <v>2021</v>
      </c>
      <c r="I10" t="str">
        <f>IF(Table1[[#This Row],[JoiningYear]]&lt;2015,"senior","junior")</f>
        <v>junior</v>
      </c>
      <c r="J10">
        <v>4.7</v>
      </c>
      <c r="K10" t="s">
        <v>72</v>
      </c>
      <c r="L10" t="s">
        <v>73</v>
      </c>
      <c r="M10" t="s">
        <v>74</v>
      </c>
      <c r="N10" t="str">
        <f>IF(Table1[[#This Row],[Salary]]&gt;70000,"high","low")</f>
        <v>low</v>
      </c>
      <c r="O10" t="str">
        <f>IF(Table1[[#This Row],[Rating]]&gt;=4,"Top performance","Average")</f>
        <v>Top performance</v>
      </c>
      <c r="P10" t="str">
        <f>IF(Table1[[#This Row],[JoiningYear]]&lt;2015,"Senior","Junior")</f>
        <v>Junior</v>
      </c>
      <c r="Q10" t="str">
        <f>_xlfn.CONCAT(Table1[[#This Row],[FirstName]]," ",Table1[[#This Row],[LastName]])</f>
        <v>Tanya Kumar</v>
      </c>
      <c r="R10" s="4" t="str">
        <f>_xlfn.CONCAT(LOWER(Table1[[#This Row],[FirstName]]),".",LOWER(Table1[[#This Row],[LastName]]),"@company.com")</f>
        <v>tanya.kumar@company.com</v>
      </c>
      <c r="S10" s="4" t="str">
        <f>_xlfn.CONCAT(Table1[[#This Row],[City]],"-",Table1[[#This Row],[Department]])</f>
        <v>Pune-Operations</v>
      </c>
      <c r="T10" s="4">
        <f>LEN(Table1[[#This Row],[EmailRaw]])</f>
        <v>27</v>
      </c>
      <c r="U10" s="4">
        <f>LEN(Table1[[#This Row],[Full_name]])</f>
        <v>11</v>
      </c>
      <c r="V10" s="4">
        <f>LEN(TRIM(Table1[[#This Row],[EmailRaw]]))</f>
        <v>23</v>
      </c>
      <c r="W10" s="4">
        <f>Table1[[#This Row],[Len_row_mail]]-Table1[[#This Row],[trim_len_row_mail]]</f>
        <v>4</v>
      </c>
      <c r="X10" s="4" t="str">
        <f>TRIM(Table1[[#This Row],[Full_name]])</f>
        <v>Tanya Kumar</v>
      </c>
      <c r="Y10" s="4" t="str">
        <f>TRIM(Table1[[#This Row],[EmailRaw]])</f>
        <v>tanya.kumar@company.com</v>
      </c>
      <c r="Z10" s="4">
        <f>LEN(Table1[[#This Row],[Trimed_mail]])</f>
        <v>23</v>
      </c>
      <c r="AA10" s="4"/>
      <c r="AB10" s="4"/>
      <c r="AC10" s="4"/>
      <c r="AD10" s="4"/>
      <c r="AE10" s="4"/>
      <c r="AF10" s="4"/>
      <c r="AG10" s="4"/>
      <c r="AH10" s="4"/>
      <c r="AI10" s="4"/>
      <c r="AJ10" s="2" t="s">
        <v>457</v>
      </c>
      <c r="AK10" s="2" t="s">
        <v>458</v>
      </c>
      <c r="AL10" s="2" t="s">
        <v>459</v>
      </c>
      <c r="AM10" s="2" t="s">
        <v>460</v>
      </c>
    </row>
    <row r="11" spans="1:39">
      <c r="A11" t="s">
        <v>75</v>
      </c>
      <c r="B11" t="s">
        <v>76</v>
      </c>
      <c r="C11" t="s">
        <v>77</v>
      </c>
      <c r="D11" t="s">
        <v>78</v>
      </c>
      <c r="E11" t="s">
        <v>31</v>
      </c>
      <c r="F11">
        <v>57087</v>
      </c>
      <c r="G11">
        <v>32</v>
      </c>
      <c r="H11">
        <v>2017</v>
      </c>
      <c r="I11" t="str">
        <f>IF(Table1[[#This Row],[JoiningYear]]&lt;2015,"senior","junior")</f>
        <v>junior</v>
      </c>
      <c r="J11">
        <v>2.5</v>
      </c>
      <c r="K11" t="s">
        <v>79</v>
      </c>
      <c r="L11" t="s">
        <v>80</v>
      </c>
      <c r="M11" t="s">
        <v>81</v>
      </c>
      <c r="N11" t="str">
        <f>IF(Table1[[#This Row],[Salary]]&gt;70000,"high","low")</f>
        <v>low</v>
      </c>
      <c r="O11" t="str">
        <f>IF(Table1[[#This Row],[Rating]]&gt;=4,"Top performance","Average")</f>
        <v>Average</v>
      </c>
      <c r="P11" t="str">
        <f>IF(Table1[[#This Row],[JoiningYear]]&lt;2015,"Senior","Junior")</f>
        <v>Junior</v>
      </c>
      <c r="Q11" t="str">
        <f>_xlfn.CONCAT(Table1[[#This Row],[FirstName]]," ",Table1[[#This Row],[LastName]])</f>
        <v>Usha Gupta</v>
      </c>
      <c r="R11" s="4" t="str">
        <f>_xlfn.CONCAT(LOWER(Table1[[#This Row],[FirstName]]),".",LOWER(Table1[[#This Row],[LastName]]),"@company.com")</f>
        <v>usha.gupta@company.com</v>
      </c>
      <c r="S11" s="4" t="str">
        <f>_xlfn.CONCAT(Table1[[#This Row],[City]],"-",Table1[[#This Row],[Department]])</f>
        <v>Ahmedabad-Finance</v>
      </c>
      <c r="T11" s="4">
        <f>LEN(Table1[[#This Row],[EmailRaw]])</f>
        <v>26</v>
      </c>
      <c r="U11" s="4">
        <f>LEN(Table1[[#This Row],[Full_name]])</f>
        <v>10</v>
      </c>
      <c r="V11" s="4">
        <f>LEN(TRIM(Table1[[#This Row],[EmailRaw]]))</f>
        <v>22</v>
      </c>
      <c r="W11" s="4">
        <f>Table1[[#This Row],[Len_row_mail]]-Table1[[#This Row],[trim_len_row_mail]]</f>
        <v>4</v>
      </c>
      <c r="X11" s="4" t="str">
        <f>TRIM(Table1[[#This Row],[Full_name]])</f>
        <v>Usha Gupta</v>
      </c>
      <c r="Y11" s="4" t="str">
        <f>TRIM(Table1[[#This Row],[EmailRaw]])</f>
        <v>usha.gupta@company.com</v>
      </c>
      <c r="Z11" s="4">
        <f>LEN(Table1[[#This Row],[Trimed_mail]])</f>
        <v>22</v>
      </c>
      <c r="AA11" s="4"/>
      <c r="AB11" s="4"/>
      <c r="AC11" s="4"/>
      <c r="AD11" s="4"/>
      <c r="AE11" s="4"/>
      <c r="AF11" s="4"/>
      <c r="AG11" s="4"/>
      <c r="AH11" s="4"/>
      <c r="AI11" s="4"/>
      <c r="AJ11">
        <f>MAX(Table1[Salary])</f>
        <v>119972</v>
      </c>
      <c r="AK11">
        <f>MIN(Table1[Rating])</f>
        <v>1</v>
      </c>
      <c r="AL11">
        <f>MIN(Table1[Age])</f>
        <v>22</v>
      </c>
      <c r="AM11">
        <f>MAX(Table1[Age])</f>
        <v>58</v>
      </c>
    </row>
    <row r="12" spans="1:39">
      <c r="A12" t="s">
        <v>82</v>
      </c>
      <c r="B12" t="s">
        <v>13</v>
      </c>
      <c r="C12" t="s">
        <v>22</v>
      </c>
      <c r="D12" t="s">
        <v>83</v>
      </c>
      <c r="E12" t="s">
        <v>71</v>
      </c>
      <c r="F12">
        <v>32331</v>
      </c>
      <c r="G12">
        <v>36</v>
      </c>
      <c r="H12">
        <v>2023</v>
      </c>
      <c r="I12" t="str">
        <f>IF(Table1[[#This Row],[JoiningYear]]&lt;2015,"senior","junior")</f>
        <v>junior</v>
      </c>
      <c r="J12">
        <v>1.1000000000000001</v>
      </c>
      <c r="K12" t="s">
        <v>84</v>
      </c>
      <c r="L12" t="s">
        <v>85</v>
      </c>
      <c r="M12" t="s">
        <v>86</v>
      </c>
      <c r="N12" t="str">
        <f>IF(Table1[[#This Row],[Salary]]&gt;70000,"high","low")</f>
        <v>low</v>
      </c>
      <c r="O12" t="str">
        <f>IF(Table1[[#This Row],[Rating]]&gt;=4,"Top performance","Average")</f>
        <v>Average</v>
      </c>
      <c r="P12" t="str">
        <f>IF(Table1[[#This Row],[JoiningYear]]&lt;2015,"Senior","Junior")</f>
        <v>Junior</v>
      </c>
      <c r="Q12" t="str">
        <f>_xlfn.CONCAT(Table1[[#This Row],[FirstName]]," ",Table1[[#This Row],[LastName]])</f>
        <v>Gaurav Agarwal</v>
      </c>
      <c r="R12" s="4" t="str">
        <f>_xlfn.CONCAT(LOWER(Table1[[#This Row],[FirstName]]),".",LOWER(Table1[[#This Row],[LastName]]),"@company.com")</f>
        <v>gaurav.agarwal@company.com</v>
      </c>
      <c r="S12" s="4" t="str">
        <f>_xlfn.CONCAT(Table1[[#This Row],[City]],"-",Table1[[#This Row],[Department]])</f>
        <v>Pune-IT</v>
      </c>
      <c r="T12" s="4">
        <f>LEN(Table1[[#This Row],[EmailRaw]])</f>
        <v>30</v>
      </c>
      <c r="U12" s="4">
        <f>LEN(Table1[[#This Row],[Full_name]])</f>
        <v>14</v>
      </c>
      <c r="V12" s="4">
        <f>LEN(TRIM(Table1[[#This Row],[EmailRaw]]))</f>
        <v>26</v>
      </c>
      <c r="W12" s="4">
        <f>Table1[[#This Row],[Len_row_mail]]-Table1[[#This Row],[trim_len_row_mail]]</f>
        <v>4</v>
      </c>
      <c r="X12" s="4" t="str">
        <f>TRIM(Table1[[#This Row],[Full_name]])</f>
        <v>Gaurav Agarwal</v>
      </c>
      <c r="Y12" s="4" t="str">
        <f>TRIM(Table1[[#This Row],[EmailRaw]])</f>
        <v>gaurav.agarwal@company.com</v>
      </c>
      <c r="Z12" s="4">
        <f>LEN(Table1[[#This Row],[Trimed_mail]])</f>
        <v>26</v>
      </c>
      <c r="AA12" s="4"/>
      <c r="AB12" s="4"/>
      <c r="AC12" s="4"/>
      <c r="AD12" s="4"/>
      <c r="AE12" s="4"/>
      <c r="AF12" s="4"/>
      <c r="AG12" s="4"/>
      <c r="AH12" s="4"/>
      <c r="AI12" s="4"/>
    </row>
    <row r="13" spans="1:39">
      <c r="A13" t="s">
        <v>87</v>
      </c>
      <c r="B13" t="s">
        <v>88</v>
      </c>
      <c r="C13" t="s">
        <v>89</v>
      </c>
      <c r="D13" t="s">
        <v>90</v>
      </c>
      <c r="E13" t="s">
        <v>45</v>
      </c>
      <c r="F13">
        <v>52653</v>
      </c>
      <c r="G13">
        <v>58</v>
      </c>
      <c r="H13">
        <v>2021</v>
      </c>
      <c r="I13" t="str">
        <f>IF(Table1[[#This Row],[JoiningYear]]&lt;2015,"senior","junior")</f>
        <v>junior</v>
      </c>
      <c r="J13">
        <v>2.2999999999999998</v>
      </c>
      <c r="K13" t="s">
        <v>91</v>
      </c>
      <c r="L13" t="s">
        <v>92</v>
      </c>
      <c r="M13" t="s">
        <v>93</v>
      </c>
      <c r="N13" t="str">
        <f>IF(Table1[[#This Row],[Salary]]&gt;70000,"high","low")</f>
        <v>low</v>
      </c>
      <c r="O13" t="str">
        <f>IF(Table1[[#This Row],[Rating]]&gt;=4,"Top performance","Average")</f>
        <v>Average</v>
      </c>
      <c r="P13" t="str">
        <f>IF(Table1[[#This Row],[JoiningYear]]&lt;2015,"Senior","Junior")</f>
        <v>Junior</v>
      </c>
      <c r="Q13" t="str">
        <f>_xlfn.CONCAT(Table1[[#This Row],[FirstName]]," ",Table1[[#This Row],[LastName]])</f>
        <v>Dev Mishra</v>
      </c>
      <c r="R13" s="4" t="str">
        <f>_xlfn.CONCAT(LOWER(Table1[[#This Row],[FirstName]]),".",LOWER(Table1[[#This Row],[LastName]]),"@company.com")</f>
        <v>dev.mishra@company.com</v>
      </c>
      <c r="S13" s="4" t="str">
        <f>_xlfn.CONCAT(Table1[[#This Row],[City]],"-",Table1[[#This Row],[Department]])</f>
        <v>Delhi-Marketing</v>
      </c>
      <c r="T13" s="4">
        <f>LEN(Table1[[#This Row],[EmailRaw]])</f>
        <v>26</v>
      </c>
      <c r="U13" s="4">
        <f>LEN(Table1[[#This Row],[Full_name]])</f>
        <v>10</v>
      </c>
      <c r="V13" s="4">
        <f>LEN(TRIM(Table1[[#This Row],[EmailRaw]]))</f>
        <v>22</v>
      </c>
      <c r="W13" s="4">
        <f>Table1[[#This Row],[Len_row_mail]]-Table1[[#This Row],[trim_len_row_mail]]</f>
        <v>4</v>
      </c>
      <c r="X13" s="4" t="str">
        <f>TRIM(Table1[[#This Row],[Full_name]])</f>
        <v>Dev Mishra</v>
      </c>
      <c r="Y13" s="4" t="str">
        <f>TRIM(Table1[[#This Row],[EmailRaw]])</f>
        <v>dev.mishra@company.com</v>
      </c>
      <c r="Z13" s="4">
        <f>LEN(Table1[[#This Row],[Trimed_mail]])</f>
        <v>22</v>
      </c>
      <c r="AA13" s="4"/>
      <c r="AB13" s="4"/>
      <c r="AC13" s="4"/>
      <c r="AD13" s="4"/>
      <c r="AE13" s="4"/>
      <c r="AF13" s="4"/>
      <c r="AG13" s="4"/>
      <c r="AH13" s="4"/>
      <c r="AI13" s="4"/>
      <c r="AJ13" t="s">
        <v>461</v>
      </c>
    </row>
    <row r="14" spans="1:39">
      <c r="A14" t="s">
        <v>94</v>
      </c>
      <c r="B14" t="s">
        <v>76</v>
      </c>
      <c r="C14" t="s">
        <v>95</v>
      </c>
      <c r="D14" t="s">
        <v>96</v>
      </c>
      <c r="E14" t="s">
        <v>51</v>
      </c>
      <c r="F14">
        <v>43726</v>
      </c>
      <c r="G14">
        <v>38</v>
      </c>
      <c r="H14">
        <v>2012</v>
      </c>
      <c r="I14" t="str">
        <f>IF(Table1[[#This Row],[JoiningYear]]&lt;2015,"senior","junior")</f>
        <v>senior</v>
      </c>
      <c r="J14">
        <v>2</v>
      </c>
      <c r="K14" t="s">
        <v>97</v>
      </c>
      <c r="L14" t="s">
        <v>98</v>
      </c>
      <c r="M14" t="s">
        <v>99</v>
      </c>
      <c r="N14" t="str">
        <f>IF(Table1[[#This Row],[Salary]]&gt;70000,"high","low")</f>
        <v>low</v>
      </c>
      <c r="O14" t="str">
        <f>IF(Table1[[#This Row],[Rating]]&gt;=4,"Top performance","Average")</f>
        <v>Average</v>
      </c>
      <c r="P14" t="str">
        <f>IF(Table1[[#This Row],[JoiningYear]]&lt;2015,"Senior","Junior")</f>
        <v>Senior</v>
      </c>
      <c r="Q14" t="str">
        <f>_xlfn.CONCAT(Table1[[#This Row],[FirstName]]," ",Table1[[#This Row],[LastName]])</f>
        <v>Usha Rao</v>
      </c>
      <c r="R14" s="4" t="str">
        <f>_xlfn.CONCAT(LOWER(Table1[[#This Row],[FirstName]]),".",LOWER(Table1[[#This Row],[LastName]]),"@company.com")</f>
        <v>usha.rao@company.com</v>
      </c>
      <c r="S14" s="4" t="str">
        <f>_xlfn.CONCAT(Table1[[#This Row],[City]],"-",Table1[[#This Row],[Department]])</f>
        <v>Jaipur-Support</v>
      </c>
      <c r="T14" s="4">
        <f>LEN(Table1[[#This Row],[EmailRaw]])</f>
        <v>24</v>
      </c>
      <c r="U14" s="4">
        <f>LEN(Table1[[#This Row],[Full_name]])</f>
        <v>8</v>
      </c>
      <c r="V14" s="4">
        <f>LEN(TRIM(Table1[[#This Row],[EmailRaw]]))</f>
        <v>20</v>
      </c>
      <c r="W14" s="4">
        <f>Table1[[#This Row],[Len_row_mail]]-Table1[[#This Row],[trim_len_row_mail]]</f>
        <v>4</v>
      </c>
      <c r="X14" s="4" t="str">
        <f>TRIM(Table1[[#This Row],[Full_name]])</f>
        <v>Usha Rao</v>
      </c>
      <c r="Y14" s="4" t="str">
        <f>TRIM(Table1[[#This Row],[EmailRaw]])</f>
        <v>usha.rao@company.com</v>
      </c>
      <c r="Z14" s="4">
        <f>LEN(Table1[[#This Row],[Trimed_mail]])</f>
        <v>20</v>
      </c>
      <c r="AA14" s="4"/>
      <c r="AB14" s="4"/>
      <c r="AC14" s="4"/>
      <c r="AD14" s="4"/>
      <c r="AE14" s="4"/>
      <c r="AF14" s="4"/>
      <c r="AG14" s="4"/>
      <c r="AH14" s="4"/>
      <c r="AI14" s="4"/>
      <c r="AJ14">
        <f>COUNTIF(Table1[City],"Mumbai")</f>
        <v>6</v>
      </c>
    </row>
    <row r="15" spans="1:39">
      <c r="A15" t="s">
        <v>100</v>
      </c>
      <c r="B15" t="s">
        <v>101</v>
      </c>
      <c r="C15" t="s">
        <v>22</v>
      </c>
      <c r="D15" t="s">
        <v>90</v>
      </c>
      <c r="E15" t="s">
        <v>24</v>
      </c>
      <c r="F15">
        <v>81155</v>
      </c>
      <c r="G15">
        <v>47</v>
      </c>
      <c r="H15">
        <v>2015</v>
      </c>
      <c r="I15" t="str">
        <f>IF(Table1[[#This Row],[JoiningYear]]&lt;2015,"senior","junior")</f>
        <v>junior</v>
      </c>
      <c r="J15">
        <v>1.9</v>
      </c>
      <c r="K15" t="s">
        <v>102</v>
      </c>
      <c r="L15" t="s">
        <v>103</v>
      </c>
      <c r="M15" t="s">
        <v>104</v>
      </c>
      <c r="N15" t="str">
        <f>IF(Table1[[#This Row],[Salary]]&gt;70000,"high","low")</f>
        <v>high</v>
      </c>
      <c r="O15" t="str">
        <f>IF(Table1[[#This Row],[Rating]]&gt;=4,"Top performance","Average")</f>
        <v>Average</v>
      </c>
      <c r="P15" t="str">
        <f>IF(Table1[[#This Row],[JoiningYear]]&lt;2015,"Senior","Junior")</f>
        <v>Junior</v>
      </c>
      <c r="Q15" t="str">
        <f>_xlfn.CONCAT(Table1[[#This Row],[FirstName]]," ",Table1[[#This Row],[LastName]])</f>
        <v>Rekha Agarwal</v>
      </c>
      <c r="R15" s="4" t="str">
        <f>_xlfn.CONCAT(LOWER(Table1[[#This Row],[FirstName]]),".",LOWER(Table1[[#This Row],[LastName]]),"@company.com")</f>
        <v>rekha.agarwal@company.com</v>
      </c>
      <c r="S15" s="4" t="str">
        <f>_xlfn.CONCAT(Table1[[#This Row],[City]],"-",Table1[[#This Row],[Department]])</f>
        <v>Surat-Marketing</v>
      </c>
      <c r="T15" s="4">
        <f>LEN(Table1[[#This Row],[EmailRaw]])</f>
        <v>29</v>
      </c>
      <c r="U15" s="4">
        <f>LEN(Table1[[#This Row],[Full_name]])</f>
        <v>13</v>
      </c>
      <c r="V15" s="4">
        <f>LEN(TRIM(Table1[[#This Row],[EmailRaw]]))</f>
        <v>25</v>
      </c>
      <c r="W15" s="4">
        <f>Table1[[#This Row],[Len_row_mail]]-Table1[[#This Row],[trim_len_row_mail]]</f>
        <v>4</v>
      </c>
      <c r="X15" s="4" t="str">
        <f>TRIM(Table1[[#This Row],[Full_name]])</f>
        <v>Rekha Agarwal</v>
      </c>
      <c r="Y15" s="4" t="str">
        <f>TRIM(Table1[[#This Row],[EmailRaw]])</f>
        <v>rekha.agarwal@company.com</v>
      </c>
      <c r="Z15" s="4">
        <f>LEN(Table1[[#This Row],[Trimed_mail]])</f>
        <v>25</v>
      </c>
      <c r="AA15" s="4"/>
      <c r="AB15" s="4"/>
      <c r="AC15" s="4"/>
      <c r="AD15" s="4"/>
      <c r="AE15" s="4"/>
      <c r="AF15" s="4"/>
      <c r="AG15" s="4"/>
      <c r="AH15" s="4"/>
      <c r="AI15" s="4"/>
      <c r="AJ15" t="s">
        <v>462</v>
      </c>
    </row>
    <row r="16" spans="1:39">
      <c r="A16" t="s">
        <v>105</v>
      </c>
      <c r="B16" t="s">
        <v>106</v>
      </c>
      <c r="C16" t="s">
        <v>30</v>
      </c>
      <c r="D16" t="s">
        <v>107</v>
      </c>
      <c r="E16" t="s">
        <v>45</v>
      </c>
      <c r="F16">
        <v>31175</v>
      </c>
      <c r="G16">
        <v>29</v>
      </c>
      <c r="H16">
        <v>2012</v>
      </c>
      <c r="I16" t="str">
        <f>IF(Table1[[#This Row],[JoiningYear]]&lt;2015,"senior","junior")</f>
        <v>senior</v>
      </c>
      <c r="J16">
        <v>3.5</v>
      </c>
      <c r="K16" t="s">
        <v>108</v>
      </c>
      <c r="L16" t="s">
        <v>109</v>
      </c>
      <c r="M16" t="s">
        <v>110</v>
      </c>
      <c r="N16" t="str">
        <f>IF(Table1[[#This Row],[Salary]]&gt;70000,"high","low")</f>
        <v>low</v>
      </c>
      <c r="O16" t="str">
        <f>IF(Table1[[#This Row],[Rating]]&gt;=4,"Top performance","Average")</f>
        <v>Average</v>
      </c>
      <c r="P16" t="str">
        <f>IF(Table1[[#This Row],[JoiningYear]]&lt;2015,"Senior","Junior")</f>
        <v>Senior</v>
      </c>
      <c r="Q16" t="str">
        <f>_xlfn.CONCAT(Table1[[#This Row],[FirstName]]," ",Table1[[#This Row],[LastName]])</f>
        <v>Amit Pillai</v>
      </c>
      <c r="R16" s="4" t="str">
        <f>_xlfn.CONCAT(LOWER(Table1[[#This Row],[FirstName]]),".",LOWER(Table1[[#This Row],[LastName]]),"@company.com")</f>
        <v>amit.pillai@company.com</v>
      </c>
      <c r="S16" s="4" t="str">
        <f>_xlfn.CONCAT(Table1[[#This Row],[City]],"-",Table1[[#This Row],[Department]])</f>
        <v>Delhi-Legal</v>
      </c>
      <c r="T16" s="4">
        <f>LEN(Table1[[#This Row],[EmailRaw]])</f>
        <v>27</v>
      </c>
      <c r="U16" s="4">
        <f>LEN(Table1[[#This Row],[Full_name]])</f>
        <v>11</v>
      </c>
      <c r="V16" s="4">
        <f>LEN(TRIM(Table1[[#This Row],[EmailRaw]]))</f>
        <v>23</v>
      </c>
      <c r="W16" s="4">
        <f>Table1[[#This Row],[Len_row_mail]]-Table1[[#This Row],[trim_len_row_mail]]</f>
        <v>4</v>
      </c>
      <c r="X16" s="4" t="str">
        <f>TRIM(Table1[[#This Row],[Full_name]])</f>
        <v>Amit Pillai</v>
      </c>
      <c r="Y16" s="4" t="str">
        <f>TRIM(Table1[[#This Row],[EmailRaw]])</f>
        <v>amit.pillai@company.com</v>
      </c>
      <c r="Z16" s="4">
        <f>LEN(Table1[[#This Row],[Trimed_mail]])</f>
        <v>23</v>
      </c>
      <c r="AA16" s="4"/>
      <c r="AB16" s="4"/>
      <c r="AC16" s="4"/>
      <c r="AD16" s="4"/>
      <c r="AE16" s="4"/>
      <c r="AF16" s="4"/>
      <c r="AG16" s="4"/>
      <c r="AH16" s="4"/>
      <c r="AI16" s="4"/>
      <c r="AJ16">
        <f>COUNTIF(Table1[Department],"Sales")</f>
        <v>19</v>
      </c>
    </row>
    <row r="17" spans="1:37">
      <c r="A17" t="s">
        <v>111</v>
      </c>
      <c r="B17" t="s">
        <v>21</v>
      </c>
      <c r="C17" t="s">
        <v>112</v>
      </c>
      <c r="D17" t="s">
        <v>23</v>
      </c>
      <c r="E17" t="s">
        <v>113</v>
      </c>
      <c r="F17">
        <v>75019</v>
      </c>
      <c r="G17">
        <v>51</v>
      </c>
      <c r="H17">
        <v>2018</v>
      </c>
      <c r="I17" t="str">
        <f>IF(Table1[[#This Row],[JoiningYear]]&lt;2015,"senior","junior")</f>
        <v>junior</v>
      </c>
      <c r="J17">
        <v>2</v>
      </c>
      <c r="K17" t="s">
        <v>114</v>
      </c>
      <c r="L17" t="s">
        <v>115</v>
      </c>
      <c r="M17" t="s">
        <v>116</v>
      </c>
      <c r="N17" t="str">
        <f>IF(Table1[[#This Row],[Salary]]&gt;70000,"high","low")</f>
        <v>high</v>
      </c>
      <c r="O17" t="str">
        <f>IF(Table1[[#This Row],[Rating]]&gt;=4,"Top performance","Average")</f>
        <v>Average</v>
      </c>
      <c r="P17" t="str">
        <f>IF(Table1[[#This Row],[JoiningYear]]&lt;2015,"Senior","Junior")</f>
        <v>Junior</v>
      </c>
      <c r="Q17" t="str">
        <f>_xlfn.CONCAT(Table1[[#This Row],[FirstName]]," ",Table1[[#This Row],[LastName]])</f>
        <v>Bhavna Bose</v>
      </c>
      <c r="R17" s="4" t="str">
        <f>_xlfn.CONCAT(LOWER(Table1[[#This Row],[FirstName]]),".",LOWER(Table1[[#This Row],[LastName]]),"@company.com")</f>
        <v>bhavna.bose@company.com</v>
      </c>
      <c r="S17" s="4" t="str">
        <f>_xlfn.CONCAT(Table1[[#This Row],[City]],"-",Table1[[#This Row],[Department]])</f>
        <v>Kolkata-HR</v>
      </c>
      <c r="T17" s="4">
        <f>LEN(Table1[[#This Row],[EmailRaw]])</f>
        <v>27</v>
      </c>
      <c r="U17" s="4">
        <f>LEN(Table1[[#This Row],[Full_name]])</f>
        <v>11</v>
      </c>
      <c r="V17" s="4">
        <f>LEN(TRIM(Table1[[#This Row],[EmailRaw]]))</f>
        <v>23</v>
      </c>
      <c r="W17" s="4">
        <f>Table1[[#This Row],[Len_row_mail]]-Table1[[#This Row],[trim_len_row_mail]]</f>
        <v>4</v>
      </c>
      <c r="X17" s="4" t="str">
        <f>TRIM(Table1[[#This Row],[Full_name]])</f>
        <v>Bhavna Bose</v>
      </c>
      <c r="Y17" s="4" t="str">
        <f>TRIM(Table1[[#This Row],[EmailRaw]])</f>
        <v>bhavna.bose@company.com</v>
      </c>
      <c r="Z17" s="4">
        <f>LEN(Table1[[#This Row],[Trimed_mail]])</f>
        <v>23</v>
      </c>
      <c r="AA17" s="4"/>
      <c r="AB17" s="4"/>
      <c r="AC17" s="4"/>
      <c r="AD17" s="4"/>
      <c r="AE17" s="4"/>
      <c r="AF17" s="4"/>
      <c r="AG17" s="4"/>
      <c r="AH17" s="4"/>
      <c r="AI17" s="4"/>
      <c r="AJ17" t="s">
        <v>463</v>
      </c>
    </row>
    <row r="18" spans="1:37">
      <c r="A18" t="s">
        <v>117</v>
      </c>
      <c r="B18" t="s">
        <v>101</v>
      </c>
      <c r="C18" t="s">
        <v>118</v>
      </c>
      <c r="D18" t="s">
        <v>23</v>
      </c>
      <c r="E18" t="s">
        <v>31</v>
      </c>
      <c r="F18">
        <v>59973</v>
      </c>
      <c r="G18">
        <v>43</v>
      </c>
      <c r="H18">
        <v>2011</v>
      </c>
      <c r="I18" t="str">
        <f>IF(Table1[[#This Row],[JoiningYear]]&lt;2015,"senior","junior")</f>
        <v>senior</v>
      </c>
      <c r="J18">
        <v>2.2000000000000002</v>
      </c>
      <c r="K18" t="s">
        <v>119</v>
      </c>
      <c r="L18" t="s">
        <v>120</v>
      </c>
      <c r="M18" t="s">
        <v>121</v>
      </c>
      <c r="N18" t="str">
        <f>IF(Table1[[#This Row],[Salary]]&gt;70000,"high","low")</f>
        <v>low</v>
      </c>
      <c r="O18" t="str">
        <f>IF(Table1[[#This Row],[Rating]]&gt;=4,"Top performance","Average")</f>
        <v>Average</v>
      </c>
      <c r="P18" t="str">
        <f>IF(Table1[[#This Row],[JoiningYear]]&lt;2015,"Senior","Junior")</f>
        <v>Senior</v>
      </c>
      <c r="Q18" t="str">
        <f>_xlfn.CONCAT(Table1[[#This Row],[FirstName]]," ",Table1[[#This Row],[LastName]])</f>
        <v>Rekha Sharma</v>
      </c>
      <c r="R18" s="4" t="str">
        <f>_xlfn.CONCAT(LOWER(Table1[[#This Row],[FirstName]]),".",LOWER(Table1[[#This Row],[LastName]]),"@company.com")</f>
        <v>rekha.sharma@company.com</v>
      </c>
      <c r="S18" s="4" t="str">
        <f>_xlfn.CONCAT(Table1[[#This Row],[City]],"-",Table1[[#This Row],[Department]])</f>
        <v>Ahmedabad-HR</v>
      </c>
      <c r="T18" s="4">
        <f>LEN(Table1[[#This Row],[EmailRaw]])</f>
        <v>28</v>
      </c>
      <c r="U18" s="4">
        <f>LEN(Table1[[#This Row],[Full_name]])</f>
        <v>12</v>
      </c>
      <c r="V18" s="4">
        <f>LEN(TRIM(Table1[[#This Row],[EmailRaw]]))</f>
        <v>24</v>
      </c>
      <c r="W18" s="4">
        <f>Table1[[#This Row],[Len_row_mail]]-Table1[[#This Row],[trim_len_row_mail]]</f>
        <v>4</v>
      </c>
      <c r="X18" s="4" t="str">
        <f>TRIM(Table1[[#This Row],[Full_name]])</f>
        <v>Rekha Sharma</v>
      </c>
      <c r="Y18" s="4" t="str">
        <f>TRIM(Table1[[#This Row],[EmailRaw]])</f>
        <v>rekha.sharma@company.com</v>
      </c>
      <c r="Z18" s="4">
        <f>LEN(Table1[[#This Row],[Trimed_mail]])</f>
        <v>24</v>
      </c>
      <c r="AA18" s="4"/>
      <c r="AB18" s="4"/>
      <c r="AC18" s="4"/>
      <c r="AD18" s="4"/>
      <c r="AE18" s="4"/>
      <c r="AF18" s="4"/>
      <c r="AG18" s="4"/>
      <c r="AH18" s="4"/>
      <c r="AI18" s="4"/>
      <c r="AJ18">
        <f>COUNTIF(Table1[Rating],"&gt;4.0")</f>
        <v>26</v>
      </c>
    </row>
    <row r="19" spans="1:37">
      <c r="A19" t="s">
        <v>122</v>
      </c>
      <c r="B19" t="s">
        <v>123</v>
      </c>
      <c r="C19" t="s">
        <v>124</v>
      </c>
      <c r="D19" t="s">
        <v>15</v>
      </c>
      <c r="E19" t="s">
        <v>16</v>
      </c>
      <c r="F19">
        <v>90612</v>
      </c>
      <c r="G19">
        <v>33</v>
      </c>
      <c r="H19">
        <v>2018</v>
      </c>
      <c r="I19" t="str">
        <f>IF(Table1[[#This Row],[JoiningYear]]&lt;2015,"senior","junior")</f>
        <v>junior</v>
      </c>
      <c r="J19">
        <v>4.7</v>
      </c>
      <c r="K19" t="s">
        <v>125</v>
      </c>
      <c r="L19" t="s">
        <v>126</v>
      </c>
      <c r="M19" t="s">
        <v>127</v>
      </c>
      <c r="N19" t="str">
        <f>IF(Table1[[#This Row],[Salary]]&gt;70000,"high","low")</f>
        <v>high</v>
      </c>
      <c r="O19" t="str">
        <f>IF(Table1[[#This Row],[Rating]]&gt;=4,"Top performance","Average")</f>
        <v>Top performance</v>
      </c>
      <c r="P19" t="str">
        <f>IF(Table1[[#This Row],[JoiningYear]]&lt;2015,"Senior","Junior")</f>
        <v>Junior</v>
      </c>
      <c r="Q19" t="str">
        <f>_xlfn.CONCAT(Table1[[#This Row],[FirstName]]," ",Table1[[#This Row],[LastName]])</f>
        <v>Suresh Das</v>
      </c>
      <c r="R19" s="4" t="str">
        <f>_xlfn.CONCAT(LOWER(Table1[[#This Row],[FirstName]]),".",LOWER(Table1[[#This Row],[LastName]]),"@company.com")</f>
        <v>suresh.das@company.com</v>
      </c>
      <c r="S19" s="4" t="str">
        <f>_xlfn.CONCAT(Table1[[#This Row],[City]],"-",Table1[[#This Row],[Department]])</f>
        <v>Chennai-Sales</v>
      </c>
      <c r="T19" s="4">
        <f>LEN(Table1[[#This Row],[EmailRaw]])</f>
        <v>26</v>
      </c>
      <c r="U19" s="4">
        <f>LEN(Table1[[#This Row],[Full_name]])</f>
        <v>10</v>
      </c>
      <c r="V19" s="4">
        <f>LEN(TRIM(Table1[[#This Row],[EmailRaw]]))</f>
        <v>22</v>
      </c>
      <c r="W19" s="4">
        <f>Table1[[#This Row],[Len_row_mail]]-Table1[[#This Row],[trim_len_row_mail]]</f>
        <v>4</v>
      </c>
      <c r="X19" s="4" t="str">
        <f>TRIM(Table1[[#This Row],[Full_name]])</f>
        <v>Suresh Das</v>
      </c>
      <c r="Y19" s="4" t="str">
        <f>TRIM(Table1[[#This Row],[EmailRaw]])</f>
        <v>suresh.das@company.com</v>
      </c>
      <c r="Z19" s="4">
        <f>LEN(Table1[[#This Row],[Trimed_mail]])</f>
        <v>22</v>
      </c>
      <c r="AA19" s="4"/>
      <c r="AB19" s="4"/>
      <c r="AC19" s="4"/>
      <c r="AD19" s="4"/>
      <c r="AE19" s="4"/>
      <c r="AF19" s="4"/>
      <c r="AG19" s="4"/>
      <c r="AH19" s="4"/>
      <c r="AI19" s="4"/>
      <c r="AJ19" t="s">
        <v>464</v>
      </c>
    </row>
    <row r="20" spans="1:37">
      <c r="A20" t="s">
        <v>128</v>
      </c>
      <c r="B20" t="s">
        <v>13</v>
      </c>
      <c r="C20" t="s">
        <v>63</v>
      </c>
      <c r="D20" t="s">
        <v>83</v>
      </c>
      <c r="E20" t="s">
        <v>38</v>
      </c>
      <c r="F20">
        <v>74009</v>
      </c>
      <c r="G20">
        <v>32</v>
      </c>
      <c r="H20">
        <v>2018</v>
      </c>
      <c r="I20" t="str">
        <f>IF(Table1[[#This Row],[JoiningYear]]&lt;2015,"senior","junior")</f>
        <v>junior</v>
      </c>
      <c r="J20">
        <v>4.8</v>
      </c>
      <c r="K20" t="s">
        <v>129</v>
      </c>
      <c r="L20" t="s">
        <v>130</v>
      </c>
      <c r="M20" t="s">
        <v>131</v>
      </c>
      <c r="N20" t="str">
        <f>IF(Table1[[#This Row],[Salary]]&gt;70000,"high","low")</f>
        <v>high</v>
      </c>
      <c r="O20" t="str">
        <f>IF(Table1[[#This Row],[Rating]]&gt;=4,"Top performance","Average")</f>
        <v>Top performance</v>
      </c>
      <c r="P20" t="str">
        <f>IF(Table1[[#This Row],[JoiningYear]]&lt;2015,"Senior","Junior")</f>
        <v>Junior</v>
      </c>
      <c r="Q20" t="str">
        <f>_xlfn.CONCAT(Table1[[#This Row],[FirstName]]," ",Table1[[#This Row],[LastName]])</f>
        <v>Gaurav Reddy</v>
      </c>
      <c r="R20" s="4" t="str">
        <f>_xlfn.CONCAT(LOWER(Table1[[#This Row],[FirstName]]),".",LOWER(Table1[[#This Row],[LastName]]),"@company.com")</f>
        <v>gaurav.reddy@company.com</v>
      </c>
      <c r="S20" s="4" t="str">
        <f>_xlfn.CONCAT(Table1[[#This Row],[City]],"-",Table1[[#This Row],[Department]])</f>
        <v>Bangalore-IT</v>
      </c>
      <c r="T20" s="4">
        <f>LEN(Table1[[#This Row],[EmailRaw]])</f>
        <v>28</v>
      </c>
      <c r="U20" s="4">
        <f>LEN(Table1[[#This Row],[Full_name]])</f>
        <v>12</v>
      </c>
      <c r="V20" s="4">
        <f>LEN(TRIM(Table1[[#This Row],[EmailRaw]]))</f>
        <v>24</v>
      </c>
      <c r="W20" s="4">
        <f>Table1[[#This Row],[Len_row_mail]]-Table1[[#This Row],[trim_len_row_mail]]</f>
        <v>4</v>
      </c>
      <c r="X20" s="4" t="str">
        <f>TRIM(Table1[[#This Row],[Full_name]])</f>
        <v>Gaurav Reddy</v>
      </c>
      <c r="Y20" s="4" t="str">
        <f>TRIM(Table1[[#This Row],[EmailRaw]])</f>
        <v>gaurav.reddy@company.com</v>
      </c>
      <c r="Z20" s="4">
        <f>LEN(Table1[[#This Row],[Trimed_mail]])</f>
        <v>24</v>
      </c>
      <c r="AA20" s="4"/>
      <c r="AB20" s="4"/>
      <c r="AC20" s="4"/>
      <c r="AD20" s="4"/>
      <c r="AE20" s="4"/>
      <c r="AF20" s="4"/>
      <c r="AG20" s="4"/>
      <c r="AH20" s="4"/>
      <c r="AI20" s="4"/>
      <c r="AJ20">
        <f>COUNTIF(Table1[JoiningYear],"2020")</f>
        <v>6</v>
      </c>
    </row>
    <row r="21" spans="1:37">
      <c r="A21" t="s">
        <v>132</v>
      </c>
      <c r="B21" t="s">
        <v>133</v>
      </c>
      <c r="C21" t="s">
        <v>118</v>
      </c>
      <c r="D21" t="s">
        <v>57</v>
      </c>
      <c r="E21" t="s">
        <v>51</v>
      </c>
      <c r="F21">
        <v>27552</v>
      </c>
      <c r="G21">
        <v>29</v>
      </c>
      <c r="H21">
        <v>2015</v>
      </c>
      <c r="I21" t="str">
        <f>IF(Table1[[#This Row],[JoiningYear]]&lt;2015,"senior","junior")</f>
        <v>junior</v>
      </c>
      <c r="J21">
        <v>4.5</v>
      </c>
      <c r="K21" t="s">
        <v>134</v>
      </c>
      <c r="L21" t="s">
        <v>135</v>
      </c>
      <c r="M21" t="s">
        <v>136</v>
      </c>
      <c r="N21" t="str">
        <f>IF(Table1[[#This Row],[Salary]]&gt;70000,"high","low")</f>
        <v>low</v>
      </c>
      <c r="O21" t="str">
        <f>IF(Table1[[#This Row],[Rating]]&gt;=4,"Top performance","Average")</f>
        <v>Top performance</v>
      </c>
      <c r="P21" t="str">
        <f>IF(Table1[[#This Row],[JoiningYear]]&lt;2015,"Senior","Junior")</f>
        <v>Junior</v>
      </c>
      <c r="Q21" t="str">
        <f>_xlfn.CONCAT(Table1[[#This Row],[FirstName]]," ",Table1[[#This Row],[LastName]])</f>
        <v>Simran Sharma</v>
      </c>
      <c r="R21" s="4" t="str">
        <f>_xlfn.CONCAT(LOWER(Table1[[#This Row],[FirstName]]),".",LOWER(Table1[[#This Row],[LastName]]),"@company.com")</f>
        <v>simran.sharma@company.com</v>
      </c>
      <c r="S21" s="4" t="str">
        <f>_xlfn.CONCAT(Table1[[#This Row],[City]],"-",Table1[[#This Row],[Department]])</f>
        <v>Jaipur-Operations</v>
      </c>
      <c r="T21" s="4">
        <f>LEN(Table1[[#This Row],[EmailRaw]])</f>
        <v>29</v>
      </c>
      <c r="U21" s="4">
        <f>LEN(Table1[[#This Row],[Full_name]])</f>
        <v>13</v>
      </c>
      <c r="V21" s="4">
        <f>LEN(TRIM(Table1[[#This Row],[EmailRaw]]))</f>
        <v>25</v>
      </c>
      <c r="W21" s="4">
        <f>Table1[[#This Row],[Len_row_mail]]-Table1[[#This Row],[trim_len_row_mail]]</f>
        <v>4</v>
      </c>
      <c r="X21" s="4" t="str">
        <f>TRIM(Table1[[#This Row],[Full_name]])</f>
        <v>Simran Sharma</v>
      </c>
      <c r="Y21" s="4" t="str">
        <f>TRIM(Table1[[#This Row],[EmailRaw]])</f>
        <v>simran.sharma@company.com</v>
      </c>
      <c r="Z21" s="4">
        <f>LEN(Table1[[#This Row],[Trimed_mail]])</f>
        <v>25</v>
      </c>
      <c r="AA21" s="4"/>
      <c r="AB21" s="4"/>
      <c r="AC21" s="4"/>
      <c r="AD21" s="4"/>
      <c r="AE21" s="4"/>
      <c r="AF21" s="4"/>
      <c r="AG21" s="4"/>
      <c r="AH21" s="4"/>
      <c r="AI21" s="4"/>
    </row>
    <row r="22" spans="1:37">
      <c r="A22" t="s">
        <v>137</v>
      </c>
      <c r="B22" t="s">
        <v>138</v>
      </c>
      <c r="C22" t="s">
        <v>139</v>
      </c>
      <c r="D22" t="s">
        <v>15</v>
      </c>
      <c r="E22" t="s">
        <v>64</v>
      </c>
      <c r="F22">
        <v>99364</v>
      </c>
      <c r="G22">
        <v>27</v>
      </c>
      <c r="H22">
        <v>2011</v>
      </c>
      <c r="I22" t="str">
        <f>IF(Table1[[#This Row],[JoiningYear]]&lt;2015,"senior","junior")</f>
        <v>senior</v>
      </c>
      <c r="J22">
        <v>3.9</v>
      </c>
      <c r="K22" t="s">
        <v>140</v>
      </c>
      <c r="L22" t="s">
        <v>141</v>
      </c>
      <c r="M22" t="s">
        <v>142</v>
      </c>
      <c r="N22" t="str">
        <f>IF(Table1[[#This Row],[Salary]]&gt;70000,"high","low")</f>
        <v>high</v>
      </c>
      <c r="O22" t="str">
        <f>IF(Table1[[#This Row],[Rating]]&gt;=4,"Top performance","Average")</f>
        <v>Average</v>
      </c>
      <c r="P22" t="str">
        <f>IF(Table1[[#This Row],[JoiningYear]]&lt;2015,"Senior","Junior")</f>
        <v>Senior</v>
      </c>
      <c r="Q22" t="str">
        <f>_xlfn.CONCAT(Table1[[#This Row],[FirstName]]," ",Table1[[#This Row],[LastName]])</f>
        <v>Lakshmi Nair</v>
      </c>
      <c r="R22" s="4" t="str">
        <f>_xlfn.CONCAT(LOWER(Table1[[#This Row],[FirstName]]),".",LOWER(Table1[[#This Row],[LastName]]),"@company.com")</f>
        <v>lakshmi.nair@company.com</v>
      </c>
      <c r="S22" s="4" t="str">
        <f>_xlfn.CONCAT(Table1[[#This Row],[City]],"-",Table1[[#This Row],[Department]])</f>
        <v>Hyderabad-Sales</v>
      </c>
      <c r="T22" s="4">
        <f>LEN(Table1[[#This Row],[EmailRaw]])</f>
        <v>28</v>
      </c>
      <c r="U22" s="4">
        <f>LEN(Table1[[#This Row],[Full_name]])</f>
        <v>12</v>
      </c>
      <c r="V22" s="4">
        <f>LEN(TRIM(Table1[[#This Row],[EmailRaw]]))</f>
        <v>24</v>
      </c>
      <c r="W22" s="4">
        <f>Table1[[#This Row],[Len_row_mail]]-Table1[[#This Row],[trim_len_row_mail]]</f>
        <v>4</v>
      </c>
      <c r="X22" s="4" t="str">
        <f>TRIM(Table1[[#This Row],[Full_name]])</f>
        <v>Lakshmi Nair</v>
      </c>
      <c r="Y22" s="4" t="str">
        <f>TRIM(Table1[[#This Row],[EmailRaw]])</f>
        <v>lakshmi.nair@company.com</v>
      </c>
      <c r="Z22" s="4">
        <f>LEN(Table1[[#This Row],[Trimed_mail]])</f>
        <v>24</v>
      </c>
      <c r="AA22" s="4"/>
      <c r="AB22" s="4"/>
      <c r="AC22" s="4"/>
      <c r="AD22" s="4"/>
      <c r="AE22" s="4"/>
      <c r="AF22" s="4"/>
      <c r="AG22" s="4"/>
      <c r="AH22" s="4"/>
      <c r="AI22" s="4"/>
      <c r="AJ22" t="s">
        <v>465</v>
      </c>
    </row>
    <row r="23" spans="1:37">
      <c r="A23" t="s">
        <v>143</v>
      </c>
      <c r="B23" t="s">
        <v>144</v>
      </c>
      <c r="C23" t="s">
        <v>22</v>
      </c>
      <c r="D23" t="s">
        <v>78</v>
      </c>
      <c r="E23" t="s">
        <v>38</v>
      </c>
      <c r="F23">
        <v>111474</v>
      </c>
      <c r="G23">
        <v>52</v>
      </c>
      <c r="H23">
        <v>2018</v>
      </c>
      <c r="I23" t="str">
        <f>IF(Table1[[#This Row],[JoiningYear]]&lt;2015,"senior","junior")</f>
        <v>junior</v>
      </c>
      <c r="J23">
        <v>1.7</v>
      </c>
      <c r="K23" t="s">
        <v>145</v>
      </c>
      <c r="L23" t="s">
        <v>146</v>
      </c>
      <c r="M23" t="s">
        <v>147</v>
      </c>
      <c r="N23" t="str">
        <f>IF(Table1[[#This Row],[Salary]]&gt;70000,"high","low")</f>
        <v>high</v>
      </c>
      <c r="O23" t="str">
        <f>IF(Table1[[#This Row],[Rating]]&gt;=4,"Top performance","Average")</f>
        <v>Average</v>
      </c>
      <c r="P23" t="str">
        <f>IF(Table1[[#This Row],[JoiningYear]]&lt;2015,"Senior","Junior")</f>
        <v>Junior</v>
      </c>
      <c r="Q23" t="str">
        <f>_xlfn.CONCAT(Table1[[#This Row],[FirstName]]," ",Table1[[#This Row],[LastName]])</f>
        <v>Vikram Agarwal</v>
      </c>
      <c r="R23" s="4" t="str">
        <f>_xlfn.CONCAT(LOWER(Table1[[#This Row],[FirstName]]),".",LOWER(Table1[[#This Row],[LastName]]),"@company.com")</f>
        <v>vikram.agarwal@company.com</v>
      </c>
      <c r="S23" s="4" t="str">
        <f>_xlfn.CONCAT(Table1[[#This Row],[City]],"-",Table1[[#This Row],[Department]])</f>
        <v>Bangalore-Finance</v>
      </c>
      <c r="T23" s="4">
        <f>LEN(Table1[[#This Row],[EmailRaw]])</f>
        <v>30</v>
      </c>
      <c r="U23" s="4">
        <f>LEN(Table1[[#This Row],[Full_name]])</f>
        <v>14</v>
      </c>
      <c r="V23" s="4">
        <f>LEN(TRIM(Table1[[#This Row],[EmailRaw]]))</f>
        <v>26</v>
      </c>
      <c r="W23" s="4">
        <f>Table1[[#This Row],[Len_row_mail]]-Table1[[#This Row],[trim_len_row_mail]]</f>
        <v>4</v>
      </c>
      <c r="X23" s="4" t="str">
        <f>TRIM(Table1[[#This Row],[Full_name]])</f>
        <v>Vikram Agarwal</v>
      </c>
      <c r="Y23" s="4" t="str">
        <f>TRIM(Table1[[#This Row],[EmailRaw]])</f>
        <v>vikram.agarwal@company.com</v>
      </c>
      <c r="Z23" s="4">
        <f>LEN(Table1[[#This Row],[Trimed_mail]])</f>
        <v>26</v>
      </c>
      <c r="AA23" s="4"/>
      <c r="AB23" s="4"/>
      <c r="AC23" s="4"/>
      <c r="AD23" s="4"/>
      <c r="AE23" s="4"/>
      <c r="AF23" s="4"/>
      <c r="AG23" s="4"/>
      <c r="AH23" s="4"/>
      <c r="AI23" s="4"/>
      <c r="AJ23" t="s">
        <v>75</v>
      </c>
      <c r="AK23" t="str">
        <f>VLOOKUP(AJ23,Table1[[EmpID]:[Notes]],4,0)</f>
        <v>Finance</v>
      </c>
    </row>
    <row r="24" spans="1:37">
      <c r="A24" t="s">
        <v>148</v>
      </c>
      <c r="B24" t="s">
        <v>133</v>
      </c>
      <c r="C24" t="s">
        <v>56</v>
      </c>
      <c r="D24" t="s">
        <v>96</v>
      </c>
      <c r="E24" t="s">
        <v>64</v>
      </c>
      <c r="F24">
        <v>95686</v>
      </c>
      <c r="G24">
        <v>34</v>
      </c>
      <c r="H24">
        <v>2021</v>
      </c>
      <c r="I24" t="str">
        <f>IF(Table1[[#This Row],[JoiningYear]]&lt;2015,"senior","junior")</f>
        <v>junior</v>
      </c>
      <c r="J24">
        <v>2.2000000000000002</v>
      </c>
      <c r="K24" t="s">
        <v>149</v>
      </c>
      <c r="L24" t="s">
        <v>150</v>
      </c>
      <c r="M24" t="s">
        <v>151</v>
      </c>
      <c r="N24" t="str">
        <f>IF(Table1[[#This Row],[Salary]]&gt;70000,"high","low")</f>
        <v>high</v>
      </c>
      <c r="O24" t="str">
        <f>IF(Table1[[#This Row],[Rating]]&gt;=4,"Top performance","Average")</f>
        <v>Average</v>
      </c>
      <c r="P24" t="str">
        <f>IF(Table1[[#This Row],[JoiningYear]]&lt;2015,"Senior","Junior")</f>
        <v>Junior</v>
      </c>
      <c r="Q24" t="str">
        <f>_xlfn.CONCAT(Table1[[#This Row],[FirstName]]," ",Table1[[#This Row],[LastName]])</f>
        <v>Simran Sinha</v>
      </c>
      <c r="R24" s="4" t="str">
        <f>_xlfn.CONCAT(LOWER(Table1[[#This Row],[FirstName]]),".",LOWER(Table1[[#This Row],[LastName]]),"@company.com")</f>
        <v>simran.sinha@company.com</v>
      </c>
      <c r="S24" s="4" t="str">
        <f>_xlfn.CONCAT(Table1[[#This Row],[City]],"-",Table1[[#This Row],[Department]])</f>
        <v>Hyderabad-Support</v>
      </c>
      <c r="T24" s="4">
        <f>LEN(Table1[[#This Row],[EmailRaw]])</f>
        <v>28</v>
      </c>
      <c r="U24" s="4">
        <f>LEN(Table1[[#This Row],[Full_name]])</f>
        <v>12</v>
      </c>
      <c r="V24" s="4">
        <f>LEN(TRIM(Table1[[#This Row],[EmailRaw]]))</f>
        <v>24</v>
      </c>
      <c r="W24" s="4">
        <f>Table1[[#This Row],[Len_row_mail]]-Table1[[#This Row],[trim_len_row_mail]]</f>
        <v>4</v>
      </c>
      <c r="X24" s="4" t="str">
        <f>TRIM(Table1[[#This Row],[Full_name]])</f>
        <v>Simran Sinha</v>
      </c>
      <c r="Y24" s="4" t="str">
        <f>TRIM(Table1[[#This Row],[EmailRaw]])</f>
        <v>simran.sinha@company.com</v>
      </c>
      <c r="Z24" s="4">
        <f>LEN(Table1[[#This Row],[Trimed_mail]])</f>
        <v>24</v>
      </c>
      <c r="AA24" s="4"/>
      <c r="AB24" s="4"/>
      <c r="AC24" s="4"/>
      <c r="AD24" s="4"/>
      <c r="AE24" s="4"/>
      <c r="AF24" s="4"/>
      <c r="AG24" s="4"/>
      <c r="AH24" s="4"/>
      <c r="AI24" s="4"/>
    </row>
    <row r="25" spans="1:37">
      <c r="A25" t="s">
        <v>152</v>
      </c>
      <c r="B25" t="s">
        <v>153</v>
      </c>
      <c r="C25" t="s">
        <v>154</v>
      </c>
      <c r="D25" t="s">
        <v>107</v>
      </c>
      <c r="E25" t="s">
        <v>31</v>
      </c>
      <c r="F25">
        <v>84177</v>
      </c>
      <c r="G25">
        <v>29</v>
      </c>
      <c r="H25">
        <v>2013</v>
      </c>
      <c r="I25" t="str">
        <f>IF(Table1[[#This Row],[JoiningYear]]&lt;2015,"senior","junior")</f>
        <v>senior</v>
      </c>
      <c r="J25">
        <v>1.9</v>
      </c>
      <c r="K25" t="s">
        <v>155</v>
      </c>
      <c r="L25" t="s">
        <v>156</v>
      </c>
      <c r="M25" t="s">
        <v>157</v>
      </c>
      <c r="N25" t="str">
        <f>IF(Table1[[#This Row],[Salary]]&gt;70000,"high","low")</f>
        <v>high</v>
      </c>
      <c r="O25" t="str">
        <f>IF(Table1[[#This Row],[Rating]]&gt;=4,"Top performance","Average")</f>
        <v>Average</v>
      </c>
      <c r="P25" t="str">
        <f>IF(Table1[[#This Row],[JoiningYear]]&lt;2015,"Senior","Junior")</f>
        <v>Senior</v>
      </c>
      <c r="Q25" t="str">
        <f>_xlfn.CONCAT(Table1[[#This Row],[FirstName]]," ",Table1[[#This Row],[LastName]])</f>
        <v>Tarun Kapoor</v>
      </c>
      <c r="R25" s="4" t="str">
        <f>_xlfn.CONCAT(LOWER(Table1[[#This Row],[FirstName]]),".",LOWER(Table1[[#This Row],[LastName]]),"@company.com")</f>
        <v>tarun.kapoor@company.com</v>
      </c>
      <c r="S25" s="4" t="str">
        <f>_xlfn.CONCAT(Table1[[#This Row],[City]],"-",Table1[[#This Row],[Department]])</f>
        <v>Ahmedabad-Legal</v>
      </c>
      <c r="T25" s="4">
        <f>LEN(Table1[[#This Row],[EmailRaw]])</f>
        <v>28</v>
      </c>
      <c r="U25" s="4">
        <f>LEN(Table1[[#This Row],[Full_name]])</f>
        <v>12</v>
      </c>
      <c r="V25" s="4">
        <f>LEN(TRIM(Table1[[#This Row],[EmailRaw]]))</f>
        <v>24</v>
      </c>
      <c r="W25" s="4">
        <f>Table1[[#This Row],[Len_row_mail]]-Table1[[#This Row],[trim_len_row_mail]]</f>
        <v>4</v>
      </c>
      <c r="X25" s="4" t="str">
        <f>TRIM(Table1[[#This Row],[Full_name]])</f>
        <v>Tarun Kapoor</v>
      </c>
      <c r="Y25" s="4" t="str">
        <f>TRIM(Table1[[#This Row],[EmailRaw]])</f>
        <v>tarun.kapoor@company.com</v>
      </c>
      <c r="Z25" s="4">
        <f>LEN(Table1[[#This Row],[Trimed_mail]])</f>
        <v>24</v>
      </c>
      <c r="AA25" s="4"/>
      <c r="AB25" s="4"/>
      <c r="AC25" s="4"/>
      <c r="AD25" s="4"/>
      <c r="AE25" s="4"/>
      <c r="AF25" s="4"/>
      <c r="AG25" s="4"/>
      <c r="AH25" s="4"/>
      <c r="AI25" s="4"/>
      <c r="AJ25" t="s">
        <v>466</v>
      </c>
    </row>
    <row r="26" spans="1:37">
      <c r="A26" t="s">
        <v>158</v>
      </c>
      <c r="B26" t="s">
        <v>159</v>
      </c>
      <c r="C26" t="s">
        <v>118</v>
      </c>
      <c r="D26" t="s">
        <v>83</v>
      </c>
      <c r="E26" t="s">
        <v>24</v>
      </c>
      <c r="F26">
        <v>53864</v>
      </c>
      <c r="G26">
        <v>22</v>
      </c>
      <c r="H26">
        <v>2011</v>
      </c>
      <c r="I26" t="str">
        <f>IF(Table1[[#This Row],[JoiningYear]]&lt;2015,"senior","junior")</f>
        <v>senior</v>
      </c>
      <c r="J26">
        <v>3.8</v>
      </c>
      <c r="K26" t="s">
        <v>160</v>
      </c>
      <c r="L26" t="s">
        <v>161</v>
      </c>
      <c r="M26" t="s">
        <v>162</v>
      </c>
      <c r="N26" t="str">
        <f>IF(Table1[[#This Row],[Salary]]&gt;70000,"high","low")</f>
        <v>low</v>
      </c>
      <c r="O26" t="str">
        <f>IF(Table1[[#This Row],[Rating]]&gt;=4,"Top performance","Average")</f>
        <v>Average</v>
      </c>
      <c r="P26" t="str">
        <f>IF(Table1[[#This Row],[JoiningYear]]&lt;2015,"Senior","Junior")</f>
        <v>Senior</v>
      </c>
      <c r="Q26" t="str">
        <f>_xlfn.CONCAT(Table1[[#This Row],[FirstName]]," ",Table1[[#This Row],[LastName]])</f>
        <v>Sana Sharma</v>
      </c>
      <c r="R26" s="4" t="str">
        <f>_xlfn.CONCAT(LOWER(Table1[[#This Row],[FirstName]]),".",LOWER(Table1[[#This Row],[LastName]]),"@company.com")</f>
        <v>sana.sharma@company.com</v>
      </c>
      <c r="S26" s="4" t="str">
        <f>_xlfn.CONCAT(Table1[[#This Row],[City]],"-",Table1[[#This Row],[Department]])</f>
        <v>Surat-IT</v>
      </c>
      <c r="T26" s="4">
        <f>LEN(Table1[[#This Row],[EmailRaw]])</f>
        <v>27</v>
      </c>
      <c r="U26" s="4">
        <f>LEN(Table1[[#This Row],[Full_name]])</f>
        <v>11</v>
      </c>
      <c r="V26" s="4">
        <f>LEN(TRIM(Table1[[#This Row],[EmailRaw]]))</f>
        <v>23</v>
      </c>
      <c r="W26" s="4">
        <f>Table1[[#This Row],[Len_row_mail]]-Table1[[#This Row],[trim_len_row_mail]]</f>
        <v>4</v>
      </c>
      <c r="X26" s="4" t="str">
        <f>TRIM(Table1[[#This Row],[Full_name]])</f>
        <v>Sana Sharma</v>
      </c>
      <c r="Y26" s="4" t="str">
        <f>TRIM(Table1[[#This Row],[EmailRaw]])</f>
        <v>sana.sharma@company.com</v>
      </c>
      <c r="Z26" s="4">
        <f>LEN(Table1[[#This Row],[Trimed_mail]])</f>
        <v>23</v>
      </c>
      <c r="AA26" s="4"/>
      <c r="AB26" s="4"/>
      <c r="AC26" s="4"/>
      <c r="AD26" s="4"/>
      <c r="AE26" s="4"/>
      <c r="AF26" s="4"/>
      <c r="AG26" s="4"/>
      <c r="AH26" s="4"/>
      <c r="AI26" s="4"/>
      <c r="AJ26" t="s">
        <v>248</v>
      </c>
      <c r="AK26">
        <f>VLOOKUP(AJ26,Table1[],6,0)</f>
        <v>34862</v>
      </c>
    </row>
    <row r="27" spans="1:37">
      <c r="A27" t="s">
        <v>163</v>
      </c>
      <c r="B27" t="s">
        <v>164</v>
      </c>
      <c r="C27" t="s">
        <v>139</v>
      </c>
      <c r="D27" t="s">
        <v>23</v>
      </c>
      <c r="E27" t="s">
        <v>165</v>
      </c>
      <c r="F27">
        <v>68309</v>
      </c>
      <c r="G27">
        <v>26</v>
      </c>
      <c r="H27">
        <v>2018</v>
      </c>
      <c r="I27" t="str">
        <f>IF(Table1[[#This Row],[JoiningYear]]&lt;2015,"senior","junior")</f>
        <v>junior</v>
      </c>
      <c r="J27">
        <v>2</v>
      </c>
      <c r="K27" t="s">
        <v>166</v>
      </c>
      <c r="L27" t="s">
        <v>167</v>
      </c>
      <c r="M27" t="s">
        <v>116</v>
      </c>
      <c r="N27" t="str">
        <f>IF(Table1[[#This Row],[Salary]]&gt;70000,"high","low")</f>
        <v>low</v>
      </c>
      <c r="O27" t="str">
        <f>IF(Table1[[#This Row],[Rating]]&gt;=4,"Top performance","Average")</f>
        <v>Average</v>
      </c>
      <c r="P27" t="str">
        <f>IF(Table1[[#This Row],[JoiningYear]]&lt;2015,"Senior","Junior")</f>
        <v>Junior</v>
      </c>
      <c r="Q27" t="str">
        <f>_xlfn.CONCAT(Table1[[#This Row],[FirstName]]," ",Table1[[#This Row],[LastName]])</f>
        <v>Sneha Nair</v>
      </c>
      <c r="R27" s="4" t="str">
        <f>_xlfn.CONCAT(LOWER(Table1[[#This Row],[FirstName]]),".",LOWER(Table1[[#This Row],[LastName]]),"@company.com")</f>
        <v>sneha.nair@company.com</v>
      </c>
      <c r="S27" s="4" t="str">
        <f>_xlfn.CONCAT(Table1[[#This Row],[City]],"-",Table1[[#This Row],[Department]])</f>
        <v>Mumbai-HR</v>
      </c>
      <c r="T27" s="4">
        <f>LEN(Table1[[#This Row],[EmailRaw]])</f>
        <v>26</v>
      </c>
      <c r="U27" s="4">
        <f>LEN(Table1[[#This Row],[Full_name]])</f>
        <v>10</v>
      </c>
      <c r="V27" s="4">
        <f>LEN(TRIM(Table1[[#This Row],[EmailRaw]]))</f>
        <v>22</v>
      </c>
      <c r="W27" s="4">
        <f>Table1[[#This Row],[Len_row_mail]]-Table1[[#This Row],[trim_len_row_mail]]</f>
        <v>4</v>
      </c>
      <c r="X27" s="4" t="str">
        <f>TRIM(Table1[[#This Row],[Full_name]])</f>
        <v>Sneha Nair</v>
      </c>
      <c r="Y27" s="4" t="str">
        <f>TRIM(Table1[[#This Row],[EmailRaw]])</f>
        <v>sneha.nair@company.com</v>
      </c>
      <c r="Z27" s="4">
        <f>LEN(Table1[[#This Row],[Trimed_mail]])</f>
        <v>22</v>
      </c>
      <c r="AA27" s="4"/>
      <c r="AB27" s="4"/>
      <c r="AC27" s="4"/>
      <c r="AD27" s="4"/>
      <c r="AE27" s="4"/>
      <c r="AF27" s="4"/>
      <c r="AG27" s="4"/>
      <c r="AH27" s="4"/>
      <c r="AI27" s="4"/>
    </row>
    <row r="28" spans="1:37">
      <c r="A28" t="s">
        <v>168</v>
      </c>
      <c r="B28" t="s">
        <v>153</v>
      </c>
      <c r="C28" t="s">
        <v>95</v>
      </c>
      <c r="D28" t="s">
        <v>83</v>
      </c>
      <c r="E28" t="s">
        <v>31</v>
      </c>
      <c r="F28">
        <v>42342</v>
      </c>
      <c r="G28">
        <v>58</v>
      </c>
      <c r="H28">
        <v>2019</v>
      </c>
      <c r="I28" t="str">
        <f>IF(Table1[[#This Row],[JoiningYear]]&lt;2015,"senior","junior")</f>
        <v>junior</v>
      </c>
      <c r="J28">
        <v>2.9</v>
      </c>
      <c r="K28" t="s">
        <v>169</v>
      </c>
      <c r="L28" t="s">
        <v>170</v>
      </c>
      <c r="M28" t="s">
        <v>171</v>
      </c>
      <c r="N28" t="str">
        <f>IF(Table1[[#This Row],[Salary]]&gt;70000,"high","low")</f>
        <v>low</v>
      </c>
      <c r="O28" t="str">
        <f>IF(Table1[[#This Row],[Rating]]&gt;=4,"Top performance","Average")</f>
        <v>Average</v>
      </c>
      <c r="P28" t="str">
        <f>IF(Table1[[#This Row],[JoiningYear]]&lt;2015,"Senior","Junior")</f>
        <v>Junior</v>
      </c>
      <c r="Q28" t="str">
        <f>_xlfn.CONCAT(Table1[[#This Row],[FirstName]]," ",Table1[[#This Row],[LastName]])</f>
        <v>Tarun Rao</v>
      </c>
      <c r="R28" s="4" t="str">
        <f>_xlfn.CONCAT(LOWER(Table1[[#This Row],[FirstName]]),".",LOWER(Table1[[#This Row],[LastName]]),"@company.com")</f>
        <v>tarun.rao@company.com</v>
      </c>
      <c r="S28" s="4" t="str">
        <f>_xlfn.CONCAT(Table1[[#This Row],[City]],"-",Table1[[#This Row],[Department]])</f>
        <v>Ahmedabad-IT</v>
      </c>
      <c r="T28" s="4">
        <f>LEN(Table1[[#This Row],[EmailRaw]])</f>
        <v>25</v>
      </c>
      <c r="U28" s="4">
        <f>LEN(Table1[[#This Row],[Full_name]])</f>
        <v>9</v>
      </c>
      <c r="V28" s="4">
        <f>LEN(TRIM(Table1[[#This Row],[EmailRaw]]))</f>
        <v>21</v>
      </c>
      <c r="W28" s="4">
        <f>Table1[[#This Row],[Len_row_mail]]-Table1[[#This Row],[trim_len_row_mail]]</f>
        <v>4</v>
      </c>
      <c r="X28" s="4" t="str">
        <f>TRIM(Table1[[#This Row],[Full_name]])</f>
        <v>Tarun Rao</v>
      </c>
      <c r="Y28" s="4" t="str">
        <f>TRIM(Table1[[#This Row],[EmailRaw]])</f>
        <v>tarun.rao@company.com</v>
      </c>
      <c r="Z28" s="4">
        <f>LEN(Table1[[#This Row],[Trimed_mail]])</f>
        <v>21</v>
      </c>
      <c r="AA28" s="4"/>
      <c r="AB28" s="4"/>
      <c r="AC28" s="4"/>
      <c r="AD28" s="4"/>
      <c r="AE28" s="4"/>
      <c r="AF28" s="4"/>
      <c r="AG28" s="4"/>
      <c r="AH28" s="4"/>
      <c r="AI28" s="4"/>
      <c r="AJ28" t="s">
        <v>467</v>
      </c>
    </row>
    <row r="29" spans="1:37">
      <c r="A29" t="s">
        <v>172</v>
      </c>
      <c r="B29" t="s">
        <v>173</v>
      </c>
      <c r="C29" t="s">
        <v>112</v>
      </c>
      <c r="D29" t="s">
        <v>83</v>
      </c>
      <c r="E29" t="s">
        <v>45</v>
      </c>
      <c r="F29">
        <v>37704</v>
      </c>
      <c r="G29">
        <v>49</v>
      </c>
      <c r="H29">
        <v>2015</v>
      </c>
      <c r="I29" t="str">
        <f>IF(Table1[[#This Row],[JoiningYear]]&lt;2015,"senior","junior")</f>
        <v>junior</v>
      </c>
      <c r="J29">
        <v>2.7</v>
      </c>
      <c r="K29" t="s">
        <v>174</v>
      </c>
      <c r="L29" t="s">
        <v>175</v>
      </c>
      <c r="M29" t="s">
        <v>176</v>
      </c>
      <c r="N29" t="str">
        <f>IF(Table1[[#This Row],[Salary]]&gt;70000,"high","low")</f>
        <v>low</v>
      </c>
      <c r="O29" t="str">
        <f>IF(Table1[[#This Row],[Rating]]&gt;=4,"Top performance","Average")</f>
        <v>Average</v>
      </c>
      <c r="P29" t="str">
        <f>IF(Table1[[#This Row],[JoiningYear]]&lt;2015,"Senior","Junior")</f>
        <v>Junior</v>
      </c>
      <c r="Q29" t="str">
        <f>_xlfn.CONCAT(Table1[[#This Row],[FirstName]]," ",Table1[[#This Row],[LastName]])</f>
        <v>Yash Bose</v>
      </c>
      <c r="R29" s="4" t="str">
        <f>_xlfn.CONCAT(LOWER(Table1[[#This Row],[FirstName]]),".",LOWER(Table1[[#This Row],[LastName]]),"@company.com")</f>
        <v>yash.bose@company.com</v>
      </c>
      <c r="S29" s="4" t="str">
        <f>_xlfn.CONCAT(Table1[[#This Row],[City]],"-",Table1[[#This Row],[Department]])</f>
        <v>Delhi-IT</v>
      </c>
      <c r="T29" s="4">
        <f>LEN(Table1[[#This Row],[EmailRaw]])</f>
        <v>25</v>
      </c>
      <c r="U29" s="4">
        <f>LEN(Table1[[#This Row],[Full_name]])</f>
        <v>9</v>
      </c>
      <c r="V29" s="4">
        <f>LEN(TRIM(Table1[[#This Row],[EmailRaw]]))</f>
        <v>21</v>
      </c>
      <c r="W29" s="4">
        <f>Table1[[#This Row],[Len_row_mail]]-Table1[[#This Row],[trim_len_row_mail]]</f>
        <v>4</v>
      </c>
      <c r="X29" s="4" t="str">
        <f>TRIM(Table1[[#This Row],[Full_name]])</f>
        <v>Yash Bose</v>
      </c>
      <c r="Y29" s="4" t="str">
        <f>TRIM(Table1[[#This Row],[EmailRaw]])</f>
        <v>yash.bose@company.com</v>
      </c>
      <c r="Z29" s="4">
        <f>LEN(Table1[[#This Row],[Trimed_mail]])</f>
        <v>21</v>
      </c>
      <c r="AA29" s="4"/>
      <c r="AB29" s="4"/>
      <c r="AC29" s="4"/>
      <c r="AD29" s="4"/>
      <c r="AE29" s="4"/>
      <c r="AF29" s="4"/>
      <c r="AG29" s="4"/>
      <c r="AH29" s="4"/>
      <c r="AI29" s="4"/>
      <c r="AJ29" t="s">
        <v>394</v>
      </c>
      <c r="AK29" t="str">
        <f>VLOOKUP(AJ29,Table1[],5,0)</f>
        <v>Delhi</v>
      </c>
    </row>
    <row r="30" spans="1:37">
      <c r="A30" t="s">
        <v>177</v>
      </c>
      <c r="B30" t="s">
        <v>178</v>
      </c>
      <c r="C30" t="s">
        <v>179</v>
      </c>
      <c r="D30" t="s">
        <v>23</v>
      </c>
      <c r="E30" t="s">
        <v>165</v>
      </c>
      <c r="F30">
        <v>77772</v>
      </c>
      <c r="G30">
        <v>43</v>
      </c>
      <c r="H30">
        <v>2022</v>
      </c>
      <c r="I30" t="str">
        <f>IF(Table1[[#This Row],[JoiningYear]]&lt;2015,"senior","junior")</f>
        <v>junior</v>
      </c>
      <c r="J30">
        <v>4.4000000000000004</v>
      </c>
      <c r="K30" t="s">
        <v>180</v>
      </c>
      <c r="L30" t="s">
        <v>181</v>
      </c>
      <c r="M30" t="s">
        <v>182</v>
      </c>
      <c r="N30" t="str">
        <f>IF(Table1[[#This Row],[Salary]]&gt;70000,"high","low")</f>
        <v>high</v>
      </c>
      <c r="O30" t="str">
        <f>IF(Table1[[#This Row],[Rating]]&gt;=4,"Top performance","Average")</f>
        <v>Top performance</v>
      </c>
      <c r="P30" t="str">
        <f>IF(Table1[[#This Row],[JoiningYear]]&lt;2015,"Senior","Junior")</f>
        <v>Junior</v>
      </c>
      <c r="Q30" t="str">
        <f>_xlfn.CONCAT(Table1[[#This Row],[FirstName]]," ",Table1[[#This Row],[LastName]])</f>
        <v>Deepa Verma</v>
      </c>
      <c r="R30" s="4" t="str">
        <f>_xlfn.CONCAT(LOWER(Table1[[#This Row],[FirstName]]),".",LOWER(Table1[[#This Row],[LastName]]),"@company.com")</f>
        <v>deepa.verma@company.com</v>
      </c>
      <c r="S30" s="4" t="str">
        <f>_xlfn.CONCAT(Table1[[#This Row],[City]],"-",Table1[[#This Row],[Department]])</f>
        <v>Mumbai-HR</v>
      </c>
      <c r="T30" s="4">
        <f>LEN(Table1[[#This Row],[EmailRaw]])</f>
        <v>27</v>
      </c>
      <c r="U30" s="4">
        <f>LEN(Table1[[#This Row],[Full_name]])</f>
        <v>11</v>
      </c>
      <c r="V30" s="4">
        <f>LEN(TRIM(Table1[[#This Row],[EmailRaw]]))</f>
        <v>23</v>
      </c>
      <c r="W30" s="4">
        <f>Table1[[#This Row],[Len_row_mail]]-Table1[[#This Row],[trim_len_row_mail]]</f>
        <v>4</v>
      </c>
      <c r="X30" s="4" t="str">
        <f>TRIM(Table1[[#This Row],[Full_name]])</f>
        <v>Deepa Verma</v>
      </c>
      <c r="Y30" s="4" t="str">
        <f>TRIM(Table1[[#This Row],[EmailRaw]])</f>
        <v>deepa.verma@company.com</v>
      </c>
      <c r="Z30" s="4">
        <f>LEN(Table1[[#This Row],[Trimed_mail]])</f>
        <v>23</v>
      </c>
      <c r="AA30" s="4"/>
      <c r="AB30" s="4"/>
      <c r="AC30" s="4"/>
      <c r="AD30" s="4"/>
      <c r="AE30" s="4"/>
      <c r="AF30" s="4"/>
      <c r="AG30" s="4"/>
      <c r="AH30" s="4"/>
      <c r="AI30" s="4"/>
    </row>
    <row r="31" spans="1:37">
      <c r="A31" t="s">
        <v>183</v>
      </c>
      <c r="B31" t="s">
        <v>184</v>
      </c>
      <c r="C31" t="s">
        <v>185</v>
      </c>
      <c r="D31" t="s">
        <v>83</v>
      </c>
      <c r="E31" t="s">
        <v>31</v>
      </c>
      <c r="F31">
        <v>83800</v>
      </c>
      <c r="G31">
        <v>30</v>
      </c>
      <c r="H31">
        <v>2016</v>
      </c>
      <c r="I31" t="str">
        <f>IF(Table1[[#This Row],[JoiningYear]]&lt;2015,"senior","junior")</f>
        <v>junior</v>
      </c>
      <c r="J31">
        <v>1.7</v>
      </c>
      <c r="K31" t="s">
        <v>186</v>
      </c>
      <c r="L31" t="s">
        <v>187</v>
      </c>
      <c r="M31" t="s">
        <v>188</v>
      </c>
      <c r="N31" t="str">
        <f>IF(Table1[[#This Row],[Salary]]&gt;70000,"high","low")</f>
        <v>high</v>
      </c>
      <c r="O31" t="str">
        <f>IF(Table1[[#This Row],[Rating]]&gt;=4,"Top performance","Average")</f>
        <v>Average</v>
      </c>
      <c r="P31" t="str">
        <f>IF(Table1[[#This Row],[JoiningYear]]&lt;2015,"Senior","Junior")</f>
        <v>Junior</v>
      </c>
      <c r="Q31" t="str">
        <f>_xlfn.CONCAT(Table1[[#This Row],[FirstName]]," ",Table1[[#This Row],[LastName]])</f>
        <v>Nisha Joshi</v>
      </c>
      <c r="R31" s="4" t="str">
        <f>_xlfn.CONCAT(LOWER(Table1[[#This Row],[FirstName]]),".",LOWER(Table1[[#This Row],[LastName]]),"@company.com")</f>
        <v>nisha.joshi@company.com</v>
      </c>
      <c r="S31" s="4" t="str">
        <f>_xlfn.CONCAT(Table1[[#This Row],[City]],"-",Table1[[#This Row],[Department]])</f>
        <v>Ahmedabad-IT</v>
      </c>
      <c r="T31" s="4">
        <f>LEN(Table1[[#This Row],[EmailRaw]])</f>
        <v>27</v>
      </c>
      <c r="U31" s="4">
        <f>LEN(Table1[[#This Row],[Full_name]])</f>
        <v>11</v>
      </c>
      <c r="V31" s="4">
        <f>LEN(TRIM(Table1[[#This Row],[EmailRaw]]))</f>
        <v>23</v>
      </c>
      <c r="W31" s="4">
        <f>Table1[[#This Row],[Len_row_mail]]-Table1[[#This Row],[trim_len_row_mail]]</f>
        <v>4</v>
      </c>
      <c r="X31" s="4" t="str">
        <f>TRIM(Table1[[#This Row],[Full_name]])</f>
        <v>Nisha Joshi</v>
      </c>
      <c r="Y31" s="4" t="str">
        <f>TRIM(Table1[[#This Row],[EmailRaw]])</f>
        <v>nisha.joshi@company.com</v>
      </c>
      <c r="Z31" s="4">
        <f>LEN(Table1[[#This Row],[Trimed_mail]])</f>
        <v>23</v>
      </c>
      <c r="AA31" s="4"/>
      <c r="AB31" s="4"/>
      <c r="AC31" s="4"/>
      <c r="AD31" s="4"/>
      <c r="AE31" s="4"/>
      <c r="AF31" s="4"/>
      <c r="AG31" s="4"/>
      <c r="AH31" s="4"/>
      <c r="AI31" s="4"/>
      <c r="AJ31" t="s">
        <v>468</v>
      </c>
    </row>
    <row r="32" spans="1:37">
      <c r="A32" t="s">
        <v>189</v>
      </c>
      <c r="B32" t="s">
        <v>178</v>
      </c>
      <c r="C32" t="s">
        <v>139</v>
      </c>
      <c r="D32" t="s">
        <v>23</v>
      </c>
      <c r="E32" t="s">
        <v>51</v>
      </c>
      <c r="F32">
        <v>97132</v>
      </c>
      <c r="G32">
        <v>28</v>
      </c>
      <c r="H32">
        <v>2010</v>
      </c>
      <c r="I32" t="str">
        <f>IF(Table1[[#This Row],[JoiningYear]]&lt;2015,"senior","junior")</f>
        <v>senior</v>
      </c>
      <c r="J32">
        <v>3.6</v>
      </c>
      <c r="K32" t="s">
        <v>190</v>
      </c>
      <c r="L32" t="s">
        <v>191</v>
      </c>
      <c r="M32" t="s">
        <v>27</v>
      </c>
      <c r="N32" t="str">
        <f>IF(Table1[[#This Row],[Salary]]&gt;70000,"high","low")</f>
        <v>high</v>
      </c>
      <c r="O32" t="str">
        <f>IF(Table1[[#This Row],[Rating]]&gt;=4,"Top performance","Average")</f>
        <v>Average</v>
      </c>
      <c r="P32" t="str">
        <f>IF(Table1[[#This Row],[JoiningYear]]&lt;2015,"Senior","Junior")</f>
        <v>Senior</v>
      </c>
      <c r="Q32" t="str">
        <f>_xlfn.CONCAT(Table1[[#This Row],[FirstName]]," ",Table1[[#This Row],[LastName]])</f>
        <v>Deepa Nair</v>
      </c>
      <c r="R32" s="4" t="str">
        <f>_xlfn.CONCAT(LOWER(Table1[[#This Row],[FirstName]]),".",LOWER(Table1[[#This Row],[LastName]]),"@company.com")</f>
        <v>deepa.nair@company.com</v>
      </c>
      <c r="S32" s="4" t="str">
        <f>_xlfn.CONCAT(Table1[[#This Row],[City]],"-",Table1[[#This Row],[Department]])</f>
        <v>Jaipur-HR</v>
      </c>
      <c r="T32" s="4">
        <f>LEN(Table1[[#This Row],[EmailRaw]])</f>
        <v>26</v>
      </c>
      <c r="U32" s="4">
        <f>LEN(Table1[[#This Row],[Full_name]])</f>
        <v>10</v>
      </c>
      <c r="V32" s="4">
        <f>LEN(TRIM(Table1[[#This Row],[EmailRaw]]))</f>
        <v>22</v>
      </c>
      <c r="W32" s="4">
        <f>Table1[[#This Row],[Len_row_mail]]-Table1[[#This Row],[trim_len_row_mail]]</f>
        <v>4</v>
      </c>
      <c r="X32" s="4" t="str">
        <f>TRIM(Table1[[#This Row],[Full_name]])</f>
        <v>Deepa Nair</v>
      </c>
      <c r="Y32" s="4" t="str">
        <f>TRIM(Table1[[#This Row],[EmailRaw]])</f>
        <v>deepa.nair@company.com</v>
      </c>
      <c r="Z32" s="4">
        <f>LEN(Table1[[#This Row],[Trimed_mail]])</f>
        <v>22</v>
      </c>
      <c r="AA32" s="4"/>
      <c r="AB32" s="4"/>
      <c r="AC32" s="4"/>
      <c r="AD32" s="4"/>
      <c r="AE32" s="4"/>
      <c r="AF32" s="4"/>
      <c r="AG32" s="4"/>
      <c r="AH32" s="4"/>
      <c r="AI32" s="4"/>
      <c r="AJ32" t="s">
        <v>12</v>
      </c>
      <c r="AK32" t="str">
        <f>VLOOKUP(AJ32,Table1[],9,0)</f>
        <v>senior</v>
      </c>
    </row>
    <row r="33" spans="1:36">
      <c r="A33" t="s">
        <v>192</v>
      </c>
      <c r="B33" t="s">
        <v>193</v>
      </c>
      <c r="C33" t="s">
        <v>118</v>
      </c>
      <c r="D33" t="s">
        <v>23</v>
      </c>
      <c r="E33" t="s">
        <v>64</v>
      </c>
      <c r="F33">
        <v>46798</v>
      </c>
      <c r="G33">
        <v>48</v>
      </c>
      <c r="H33">
        <v>2017</v>
      </c>
      <c r="I33" t="str">
        <f>IF(Table1[[#This Row],[JoiningYear]]&lt;2015,"senior","junior")</f>
        <v>junior</v>
      </c>
      <c r="J33">
        <v>2.9</v>
      </c>
      <c r="K33" t="s">
        <v>194</v>
      </c>
      <c r="L33" t="s">
        <v>195</v>
      </c>
      <c r="M33" t="s">
        <v>196</v>
      </c>
      <c r="N33" t="str">
        <f>IF(Table1[[#This Row],[Salary]]&gt;70000,"high","low")</f>
        <v>low</v>
      </c>
      <c r="O33" t="str">
        <f>IF(Table1[[#This Row],[Rating]]&gt;=4,"Top performance","Average")</f>
        <v>Average</v>
      </c>
      <c r="P33" t="str">
        <f>IF(Table1[[#This Row],[JoiningYear]]&lt;2015,"Senior","Junior")</f>
        <v>Junior</v>
      </c>
      <c r="Q33" t="str">
        <f>_xlfn.CONCAT(Table1[[#This Row],[FirstName]]," ",Table1[[#This Row],[LastName]])</f>
        <v>Harsh Sharma</v>
      </c>
      <c r="R33" s="4" t="str">
        <f>_xlfn.CONCAT(LOWER(Table1[[#This Row],[FirstName]]),".",LOWER(Table1[[#This Row],[LastName]]),"@company.com")</f>
        <v>harsh.sharma@company.com</v>
      </c>
      <c r="S33" s="4" t="str">
        <f>_xlfn.CONCAT(Table1[[#This Row],[City]],"-",Table1[[#This Row],[Department]])</f>
        <v>Hyderabad-HR</v>
      </c>
      <c r="T33" s="4">
        <f>LEN(Table1[[#This Row],[EmailRaw]])</f>
        <v>28</v>
      </c>
      <c r="U33" s="4">
        <f>LEN(Table1[[#This Row],[Full_name]])</f>
        <v>12</v>
      </c>
      <c r="V33" s="4">
        <f>LEN(TRIM(Table1[[#This Row],[EmailRaw]]))</f>
        <v>24</v>
      </c>
      <c r="W33" s="4">
        <f>Table1[[#This Row],[Len_row_mail]]-Table1[[#This Row],[trim_len_row_mail]]</f>
        <v>4</v>
      </c>
      <c r="X33" s="4" t="str">
        <f>TRIM(Table1[[#This Row],[Full_name]])</f>
        <v>Harsh Sharma</v>
      </c>
      <c r="Y33" s="4" t="str">
        <f>TRIM(Table1[[#This Row],[EmailRaw]])</f>
        <v>harsh.sharma@company.com</v>
      </c>
      <c r="Z33" s="4">
        <f>LEN(Table1[[#This Row],[Trimed_mail]])</f>
        <v>24</v>
      </c>
      <c r="AA33" s="4"/>
      <c r="AB33" s="4"/>
      <c r="AC33" s="4"/>
      <c r="AD33" s="4"/>
      <c r="AE33" s="4"/>
      <c r="AF33" s="4"/>
      <c r="AG33" s="4"/>
      <c r="AH33" s="4"/>
      <c r="AI33" s="4"/>
    </row>
    <row r="34" spans="1:36">
      <c r="A34" t="s">
        <v>197</v>
      </c>
      <c r="B34" t="s">
        <v>198</v>
      </c>
      <c r="C34" t="s">
        <v>179</v>
      </c>
      <c r="D34" t="s">
        <v>78</v>
      </c>
      <c r="E34" t="s">
        <v>113</v>
      </c>
      <c r="F34">
        <v>25282</v>
      </c>
      <c r="G34">
        <v>46</v>
      </c>
      <c r="H34">
        <v>2014</v>
      </c>
      <c r="I34" t="str">
        <f>IF(Table1[[#This Row],[JoiningYear]]&lt;2015,"senior","junior")</f>
        <v>senior</v>
      </c>
      <c r="J34">
        <v>4.7</v>
      </c>
      <c r="K34" t="s">
        <v>199</v>
      </c>
      <c r="L34" t="s">
        <v>200</v>
      </c>
      <c r="M34" t="s">
        <v>201</v>
      </c>
      <c r="N34" t="str">
        <f>IF(Table1[[#This Row],[Salary]]&gt;70000,"high","low")</f>
        <v>low</v>
      </c>
      <c r="O34" t="str">
        <f>IF(Table1[[#This Row],[Rating]]&gt;=4,"Top performance","Average")</f>
        <v>Top performance</v>
      </c>
      <c r="P34" t="str">
        <f>IF(Table1[[#This Row],[JoiningYear]]&lt;2015,"Senior","Junior")</f>
        <v>Senior</v>
      </c>
      <c r="Q34" t="str">
        <f>_xlfn.CONCAT(Table1[[#This Row],[FirstName]]," ",Table1[[#This Row],[LastName]])</f>
        <v>Ritu Verma</v>
      </c>
      <c r="R34" s="4" t="str">
        <f>_xlfn.CONCAT(LOWER(Table1[[#This Row],[FirstName]]),".",LOWER(Table1[[#This Row],[LastName]]),"@company.com")</f>
        <v>ritu.verma@company.com</v>
      </c>
      <c r="S34" s="4" t="str">
        <f>_xlfn.CONCAT(Table1[[#This Row],[City]],"-",Table1[[#This Row],[Department]])</f>
        <v>Kolkata-Finance</v>
      </c>
      <c r="T34" s="4">
        <f>LEN(Table1[[#This Row],[EmailRaw]])</f>
        <v>26</v>
      </c>
      <c r="U34" s="4">
        <f>LEN(Table1[[#This Row],[Full_name]])</f>
        <v>10</v>
      </c>
      <c r="V34" s="4">
        <f>LEN(TRIM(Table1[[#This Row],[EmailRaw]]))</f>
        <v>22</v>
      </c>
      <c r="W34" s="4">
        <f>Table1[[#This Row],[Len_row_mail]]-Table1[[#This Row],[trim_len_row_mail]]</f>
        <v>4</v>
      </c>
      <c r="X34" s="4" t="str">
        <f>TRIM(Table1[[#This Row],[Full_name]])</f>
        <v>Ritu Verma</v>
      </c>
      <c r="Y34" s="4" t="str">
        <f>TRIM(Table1[[#This Row],[EmailRaw]])</f>
        <v>ritu.verma@company.com</v>
      </c>
      <c r="Z34" s="4">
        <f>LEN(Table1[[#This Row],[Trimed_mail]])</f>
        <v>22</v>
      </c>
      <c r="AA34" s="4"/>
      <c r="AB34" s="4"/>
      <c r="AC34" s="4"/>
      <c r="AD34" s="4"/>
      <c r="AE34" s="4"/>
      <c r="AF34" s="4"/>
      <c r="AG34" s="4"/>
      <c r="AH34" s="4"/>
      <c r="AI34" s="4"/>
    </row>
    <row r="35" spans="1:36">
      <c r="A35" t="s">
        <v>202</v>
      </c>
      <c r="B35" t="s">
        <v>178</v>
      </c>
      <c r="C35" t="s">
        <v>63</v>
      </c>
      <c r="D35" t="s">
        <v>96</v>
      </c>
      <c r="E35" t="s">
        <v>31</v>
      </c>
      <c r="F35">
        <v>111752</v>
      </c>
      <c r="G35">
        <v>53</v>
      </c>
      <c r="H35">
        <v>2012</v>
      </c>
      <c r="I35" t="str">
        <f>IF(Table1[[#This Row],[JoiningYear]]&lt;2015,"senior","junior")</f>
        <v>senior</v>
      </c>
      <c r="J35">
        <v>1.8</v>
      </c>
      <c r="K35" t="s">
        <v>203</v>
      </c>
      <c r="L35" t="s">
        <v>204</v>
      </c>
      <c r="M35" t="s">
        <v>99</v>
      </c>
      <c r="N35" t="str">
        <f>IF(Table1[[#This Row],[Salary]]&gt;70000,"high","low")</f>
        <v>high</v>
      </c>
      <c r="O35" t="str">
        <f>IF(Table1[[#This Row],[Rating]]&gt;=4,"Top performance","Average")</f>
        <v>Average</v>
      </c>
      <c r="P35" t="str">
        <f>IF(Table1[[#This Row],[JoiningYear]]&lt;2015,"Senior","Junior")</f>
        <v>Senior</v>
      </c>
      <c r="Q35" t="str">
        <f>_xlfn.CONCAT(Table1[[#This Row],[FirstName]]," ",Table1[[#This Row],[LastName]])</f>
        <v>Deepa Reddy</v>
      </c>
      <c r="R35" s="4" t="str">
        <f>_xlfn.CONCAT(LOWER(Table1[[#This Row],[FirstName]]),".",LOWER(Table1[[#This Row],[LastName]]),"@company.com")</f>
        <v>deepa.reddy@company.com</v>
      </c>
      <c r="S35" s="4" t="str">
        <f>_xlfn.CONCAT(Table1[[#This Row],[City]],"-",Table1[[#This Row],[Department]])</f>
        <v>Ahmedabad-Support</v>
      </c>
      <c r="T35" s="4">
        <f>LEN(Table1[[#This Row],[EmailRaw]])</f>
        <v>27</v>
      </c>
      <c r="U35" s="4">
        <f>LEN(Table1[[#This Row],[Full_name]])</f>
        <v>11</v>
      </c>
      <c r="V35" s="4">
        <f>LEN(TRIM(Table1[[#This Row],[EmailRaw]]))</f>
        <v>23</v>
      </c>
      <c r="W35" s="4">
        <f>Table1[[#This Row],[Len_row_mail]]-Table1[[#This Row],[trim_len_row_mail]]</f>
        <v>4</v>
      </c>
      <c r="X35" s="4" t="str">
        <f>TRIM(Table1[[#This Row],[Full_name]])</f>
        <v>Deepa Reddy</v>
      </c>
      <c r="Y35" s="4" t="str">
        <f>TRIM(Table1[[#This Row],[EmailRaw]])</f>
        <v>deepa.reddy@company.com</v>
      </c>
      <c r="Z35" s="4">
        <f>LEN(Table1[[#This Row],[Trimed_mail]])</f>
        <v>23</v>
      </c>
      <c r="AA35" s="4"/>
      <c r="AB35" s="4"/>
      <c r="AC35" s="4"/>
      <c r="AD35" s="4"/>
      <c r="AE35" s="4"/>
      <c r="AF35" s="4"/>
      <c r="AG35" s="4"/>
      <c r="AH35" s="4"/>
      <c r="AI35" s="4"/>
      <c r="AJ35" t="s">
        <v>469</v>
      </c>
    </row>
    <row r="36" spans="1:36">
      <c r="A36" t="s">
        <v>205</v>
      </c>
      <c r="B36" t="s">
        <v>43</v>
      </c>
      <c r="C36" t="s">
        <v>179</v>
      </c>
      <c r="D36" t="s">
        <v>15</v>
      </c>
      <c r="E36" t="s">
        <v>71</v>
      </c>
      <c r="F36">
        <v>32492</v>
      </c>
      <c r="G36">
        <v>25</v>
      </c>
      <c r="H36">
        <v>2019</v>
      </c>
      <c r="I36" t="str">
        <f>IF(Table1[[#This Row],[JoiningYear]]&lt;2015,"senior","junior")</f>
        <v>junior</v>
      </c>
      <c r="J36">
        <v>2.9</v>
      </c>
      <c r="K36" t="s">
        <v>206</v>
      </c>
      <c r="L36" t="s">
        <v>207</v>
      </c>
      <c r="M36" t="s">
        <v>208</v>
      </c>
      <c r="N36" t="str">
        <f>IF(Table1[[#This Row],[Salary]]&gt;70000,"high","low")</f>
        <v>low</v>
      </c>
      <c r="O36" t="str">
        <f>IF(Table1[[#This Row],[Rating]]&gt;=4,"Top performance","Average")</f>
        <v>Average</v>
      </c>
      <c r="P36" t="str">
        <f>IF(Table1[[#This Row],[JoiningYear]]&lt;2015,"Senior","Junior")</f>
        <v>Junior</v>
      </c>
      <c r="Q36" t="str">
        <f>_xlfn.CONCAT(Table1[[#This Row],[FirstName]]," ",Table1[[#This Row],[LastName]])</f>
        <v>Divya Verma</v>
      </c>
      <c r="R36" s="4" t="str">
        <f>_xlfn.CONCAT(LOWER(Table1[[#This Row],[FirstName]]),".",LOWER(Table1[[#This Row],[LastName]]),"@company.com")</f>
        <v>divya.verma@company.com</v>
      </c>
      <c r="S36" s="4" t="str">
        <f>_xlfn.CONCAT(Table1[[#This Row],[City]],"-",Table1[[#This Row],[Department]])</f>
        <v>Pune-Sales</v>
      </c>
      <c r="T36" s="4">
        <f>LEN(Table1[[#This Row],[EmailRaw]])</f>
        <v>27</v>
      </c>
      <c r="U36" s="4">
        <f>LEN(Table1[[#This Row],[Full_name]])</f>
        <v>11</v>
      </c>
      <c r="V36" s="4">
        <f>LEN(TRIM(Table1[[#This Row],[EmailRaw]]))</f>
        <v>23</v>
      </c>
      <c r="W36" s="4">
        <f>Table1[[#This Row],[Len_row_mail]]-Table1[[#This Row],[trim_len_row_mail]]</f>
        <v>4</v>
      </c>
      <c r="X36" s="4" t="str">
        <f>TRIM(Table1[[#This Row],[Full_name]])</f>
        <v>Divya Verma</v>
      </c>
      <c r="Y36" s="4" t="str">
        <f>TRIM(Table1[[#This Row],[EmailRaw]])</f>
        <v>divya.verma@company.com</v>
      </c>
      <c r="Z36" s="4">
        <f>LEN(Table1[[#This Row],[Trimed_mail]])</f>
        <v>23</v>
      </c>
      <c r="AA36" s="4"/>
      <c r="AB36" s="4"/>
      <c r="AC36" s="4"/>
      <c r="AD36" s="4"/>
      <c r="AE36" s="4"/>
      <c r="AF36" s="4"/>
      <c r="AG36" s="4"/>
      <c r="AH36" s="4"/>
      <c r="AI36" s="4"/>
    </row>
    <row r="37" spans="1:36">
      <c r="A37" t="s">
        <v>209</v>
      </c>
      <c r="B37" t="s">
        <v>133</v>
      </c>
      <c r="C37" t="s">
        <v>70</v>
      </c>
      <c r="D37" t="s">
        <v>15</v>
      </c>
      <c r="E37" t="s">
        <v>31</v>
      </c>
      <c r="F37">
        <v>35500</v>
      </c>
      <c r="G37">
        <v>33</v>
      </c>
      <c r="H37">
        <v>2011</v>
      </c>
      <c r="I37" t="str">
        <f>IF(Table1[[#This Row],[JoiningYear]]&lt;2015,"senior","junior")</f>
        <v>senior</v>
      </c>
      <c r="J37">
        <v>3.4</v>
      </c>
      <c r="K37" t="s">
        <v>210</v>
      </c>
      <c r="L37" t="s">
        <v>211</v>
      </c>
      <c r="M37" t="s">
        <v>142</v>
      </c>
      <c r="N37" t="str">
        <f>IF(Table1[[#This Row],[Salary]]&gt;70000,"high","low")</f>
        <v>low</v>
      </c>
      <c r="O37" t="str">
        <f>IF(Table1[[#This Row],[Rating]]&gt;=4,"Top performance","Average")</f>
        <v>Average</v>
      </c>
      <c r="P37" t="str">
        <f>IF(Table1[[#This Row],[JoiningYear]]&lt;2015,"Senior","Junior")</f>
        <v>Senior</v>
      </c>
      <c r="Q37" t="str">
        <f>_xlfn.CONCAT(Table1[[#This Row],[FirstName]]," ",Table1[[#This Row],[LastName]])</f>
        <v>Simran Kumar</v>
      </c>
      <c r="R37" s="4" t="str">
        <f>_xlfn.CONCAT(LOWER(Table1[[#This Row],[FirstName]]),".",LOWER(Table1[[#This Row],[LastName]]),"@company.com")</f>
        <v>simran.kumar@company.com</v>
      </c>
      <c r="S37" s="4" t="str">
        <f>_xlfn.CONCAT(Table1[[#This Row],[City]],"-",Table1[[#This Row],[Department]])</f>
        <v>Ahmedabad-Sales</v>
      </c>
      <c r="T37" s="4">
        <f>LEN(Table1[[#This Row],[EmailRaw]])</f>
        <v>28</v>
      </c>
      <c r="U37" s="4">
        <f>LEN(Table1[[#This Row],[Full_name]])</f>
        <v>12</v>
      </c>
      <c r="V37" s="4">
        <f>LEN(TRIM(Table1[[#This Row],[EmailRaw]]))</f>
        <v>24</v>
      </c>
      <c r="W37" s="4">
        <f>Table1[[#This Row],[Len_row_mail]]-Table1[[#This Row],[trim_len_row_mail]]</f>
        <v>4</v>
      </c>
      <c r="X37" s="4" t="str">
        <f>TRIM(Table1[[#This Row],[Full_name]])</f>
        <v>Simran Kumar</v>
      </c>
      <c r="Y37" s="4" t="str">
        <f>TRIM(Table1[[#This Row],[EmailRaw]])</f>
        <v>simran.kumar@company.com</v>
      </c>
      <c r="Z37" s="4">
        <f>LEN(Table1[[#This Row],[Trimed_mail]])</f>
        <v>24</v>
      </c>
      <c r="AA37" s="4"/>
      <c r="AB37" s="4"/>
      <c r="AC37" s="4"/>
      <c r="AD37" s="4"/>
      <c r="AE37" s="4"/>
      <c r="AF37" s="4"/>
      <c r="AG37" s="4"/>
      <c r="AH37" s="4"/>
      <c r="AI37" s="4"/>
      <c r="AJ37" t="s">
        <v>471</v>
      </c>
    </row>
    <row r="38" spans="1:36">
      <c r="A38" t="s">
        <v>212</v>
      </c>
      <c r="B38" t="s">
        <v>21</v>
      </c>
      <c r="C38" t="s">
        <v>139</v>
      </c>
      <c r="D38" t="s">
        <v>96</v>
      </c>
      <c r="E38" t="s">
        <v>45</v>
      </c>
      <c r="F38">
        <v>99668</v>
      </c>
      <c r="G38">
        <v>37</v>
      </c>
      <c r="H38">
        <v>2019</v>
      </c>
      <c r="I38" t="str">
        <f>IF(Table1[[#This Row],[JoiningYear]]&lt;2015,"senior","junior")</f>
        <v>junior</v>
      </c>
      <c r="J38">
        <v>3.4</v>
      </c>
      <c r="K38" t="s">
        <v>213</v>
      </c>
      <c r="L38" t="s">
        <v>214</v>
      </c>
      <c r="M38" t="s">
        <v>215</v>
      </c>
      <c r="N38" t="str">
        <f>IF(Table1[[#This Row],[Salary]]&gt;70000,"high","low")</f>
        <v>high</v>
      </c>
      <c r="O38" t="str">
        <f>IF(Table1[[#This Row],[Rating]]&gt;=4,"Top performance","Average")</f>
        <v>Average</v>
      </c>
      <c r="P38" t="str">
        <f>IF(Table1[[#This Row],[JoiningYear]]&lt;2015,"Senior","Junior")</f>
        <v>Junior</v>
      </c>
      <c r="Q38" t="str">
        <f>_xlfn.CONCAT(Table1[[#This Row],[FirstName]]," ",Table1[[#This Row],[LastName]])</f>
        <v>Bhavna Nair</v>
      </c>
      <c r="R38" s="4" t="str">
        <f>_xlfn.CONCAT(LOWER(Table1[[#This Row],[FirstName]]),".",LOWER(Table1[[#This Row],[LastName]]),"@company.com")</f>
        <v>bhavna.nair@company.com</v>
      </c>
      <c r="S38" s="4" t="str">
        <f>_xlfn.CONCAT(Table1[[#This Row],[City]],"-",Table1[[#This Row],[Department]])</f>
        <v>Delhi-Support</v>
      </c>
      <c r="T38" s="4">
        <f>LEN(Table1[[#This Row],[EmailRaw]])</f>
        <v>27</v>
      </c>
      <c r="U38" s="4">
        <f>LEN(Table1[[#This Row],[Full_name]])</f>
        <v>11</v>
      </c>
      <c r="V38" s="4">
        <f>LEN(TRIM(Table1[[#This Row],[EmailRaw]]))</f>
        <v>23</v>
      </c>
      <c r="W38" s="4">
        <f>Table1[[#This Row],[Len_row_mail]]-Table1[[#This Row],[trim_len_row_mail]]</f>
        <v>4</v>
      </c>
      <c r="X38" s="4" t="str">
        <f>TRIM(Table1[[#This Row],[Full_name]])</f>
        <v>Bhavna Nair</v>
      </c>
      <c r="Y38" s="4" t="str">
        <f>TRIM(Table1[[#This Row],[EmailRaw]])</f>
        <v>bhavna.nair@company.com</v>
      </c>
      <c r="Z38" s="4">
        <f>LEN(Table1[[#This Row],[Trimed_mail]])</f>
        <v>23</v>
      </c>
      <c r="AA38" s="4"/>
      <c r="AB38" s="4"/>
      <c r="AC38" s="4"/>
      <c r="AD38" s="4"/>
      <c r="AE38" s="4"/>
      <c r="AF38" s="4"/>
      <c r="AG38" s="4"/>
      <c r="AH38" s="4"/>
      <c r="AI38" s="4"/>
    </row>
    <row r="39" spans="1:36">
      <c r="A39" t="s">
        <v>216</v>
      </c>
      <c r="B39" t="s">
        <v>217</v>
      </c>
      <c r="C39" t="s">
        <v>77</v>
      </c>
      <c r="D39" t="s">
        <v>96</v>
      </c>
      <c r="E39" t="s">
        <v>24</v>
      </c>
      <c r="F39">
        <v>99085</v>
      </c>
      <c r="G39">
        <v>55</v>
      </c>
      <c r="H39">
        <v>2015</v>
      </c>
      <c r="I39" t="str">
        <f>IF(Table1[[#This Row],[JoiningYear]]&lt;2015,"senior","junior")</f>
        <v>junior</v>
      </c>
      <c r="J39">
        <v>4.7</v>
      </c>
      <c r="K39" t="s">
        <v>218</v>
      </c>
      <c r="L39" t="s">
        <v>219</v>
      </c>
      <c r="M39" t="s">
        <v>220</v>
      </c>
      <c r="N39" t="str">
        <f>IF(Table1[[#This Row],[Salary]]&gt;70000,"high","low")</f>
        <v>high</v>
      </c>
      <c r="O39" t="str">
        <f>IF(Table1[[#This Row],[Rating]]&gt;=4,"Top performance","Average")</f>
        <v>Top performance</v>
      </c>
      <c r="P39" t="str">
        <f>IF(Table1[[#This Row],[JoiningYear]]&lt;2015,"Senior","Junior")</f>
        <v>Junior</v>
      </c>
      <c r="Q39" t="str">
        <f>_xlfn.CONCAT(Table1[[#This Row],[FirstName]]," ",Table1[[#This Row],[LastName]])</f>
        <v>Pallavi Gupta</v>
      </c>
      <c r="R39" s="4" t="str">
        <f>_xlfn.CONCAT(LOWER(Table1[[#This Row],[FirstName]]),".",LOWER(Table1[[#This Row],[LastName]]),"@company.com")</f>
        <v>pallavi.gupta@company.com</v>
      </c>
      <c r="S39" s="4" t="str">
        <f>_xlfn.CONCAT(Table1[[#This Row],[City]],"-",Table1[[#This Row],[Department]])</f>
        <v>Surat-Support</v>
      </c>
      <c r="T39" s="4">
        <f>LEN(Table1[[#This Row],[EmailRaw]])</f>
        <v>29</v>
      </c>
      <c r="U39" s="4">
        <f>LEN(Table1[[#This Row],[Full_name]])</f>
        <v>13</v>
      </c>
      <c r="V39" s="4">
        <f>LEN(TRIM(Table1[[#This Row],[EmailRaw]]))</f>
        <v>25</v>
      </c>
      <c r="W39" s="4">
        <f>Table1[[#This Row],[Len_row_mail]]-Table1[[#This Row],[trim_len_row_mail]]</f>
        <v>4</v>
      </c>
      <c r="X39" s="4" t="str">
        <f>TRIM(Table1[[#This Row],[Full_name]])</f>
        <v>Pallavi Gupta</v>
      </c>
      <c r="Y39" s="4" t="str">
        <f>TRIM(Table1[[#This Row],[EmailRaw]])</f>
        <v>pallavi.gupta@company.com</v>
      </c>
      <c r="Z39" s="4">
        <f>LEN(Table1[[#This Row],[Trimed_mail]])</f>
        <v>25</v>
      </c>
      <c r="AA39" s="4"/>
      <c r="AB39" s="4"/>
      <c r="AC39" s="4"/>
      <c r="AD39" s="4"/>
      <c r="AE39" s="4"/>
      <c r="AF39" s="4"/>
      <c r="AG39" s="4"/>
      <c r="AH39" s="4"/>
      <c r="AI39" s="4"/>
      <c r="AJ39" t="s">
        <v>473</v>
      </c>
    </row>
    <row r="40" spans="1:36">
      <c r="A40" t="s">
        <v>221</v>
      </c>
      <c r="B40" t="s">
        <v>43</v>
      </c>
      <c r="C40" t="s">
        <v>44</v>
      </c>
      <c r="D40" t="s">
        <v>83</v>
      </c>
      <c r="E40" t="s">
        <v>16</v>
      </c>
      <c r="F40">
        <v>76876</v>
      </c>
      <c r="G40">
        <v>30</v>
      </c>
      <c r="H40">
        <v>2020</v>
      </c>
      <c r="I40" t="str">
        <f>IF(Table1[[#This Row],[JoiningYear]]&lt;2015,"senior","junior")</f>
        <v>junior</v>
      </c>
      <c r="J40">
        <v>3.6</v>
      </c>
      <c r="K40" t="s">
        <v>46</v>
      </c>
      <c r="L40" t="s">
        <v>47</v>
      </c>
      <c r="M40" t="s">
        <v>222</v>
      </c>
      <c r="N40" t="str">
        <f>IF(Table1[[#This Row],[Salary]]&gt;70000,"high","low")</f>
        <v>high</v>
      </c>
      <c r="O40" t="str">
        <f>IF(Table1[[#This Row],[Rating]]&gt;=4,"Top performance","Average")</f>
        <v>Average</v>
      </c>
      <c r="P40" t="str">
        <f>IF(Table1[[#This Row],[JoiningYear]]&lt;2015,"Senior","Junior")</f>
        <v>Junior</v>
      </c>
      <c r="Q40" t="str">
        <f>_xlfn.CONCAT(Table1[[#This Row],[FirstName]]," ",Table1[[#This Row],[LastName]])</f>
        <v>Divya Iyer</v>
      </c>
      <c r="R40" s="4" t="str">
        <f>_xlfn.CONCAT(LOWER(Table1[[#This Row],[FirstName]]),".",LOWER(Table1[[#This Row],[LastName]]),"@company.com")</f>
        <v>divya.iyer@company.com</v>
      </c>
      <c r="S40" s="4" t="str">
        <f>_xlfn.CONCAT(Table1[[#This Row],[City]],"-",Table1[[#This Row],[Department]])</f>
        <v>Chennai-IT</v>
      </c>
      <c r="T40" s="4">
        <f>LEN(Table1[[#This Row],[EmailRaw]])</f>
        <v>26</v>
      </c>
      <c r="U40" s="4">
        <f>LEN(Table1[[#This Row],[Full_name]])</f>
        <v>10</v>
      </c>
      <c r="V40" s="4">
        <f>LEN(TRIM(Table1[[#This Row],[EmailRaw]]))</f>
        <v>22</v>
      </c>
      <c r="W40" s="4">
        <f>Table1[[#This Row],[Len_row_mail]]-Table1[[#This Row],[trim_len_row_mail]]</f>
        <v>4</v>
      </c>
      <c r="X40" s="4" t="str">
        <f>TRIM(Table1[[#This Row],[Full_name]])</f>
        <v>Divya Iyer</v>
      </c>
      <c r="Y40" s="4" t="str">
        <f>TRIM(Table1[[#This Row],[EmailRaw]])</f>
        <v>divya.iyer@company.com</v>
      </c>
      <c r="Z40" s="4">
        <f>LEN(Table1[[#This Row],[Trimed_mail]])</f>
        <v>22</v>
      </c>
      <c r="AA40" s="4"/>
      <c r="AB40" s="4"/>
      <c r="AC40" s="4"/>
      <c r="AD40" s="4"/>
      <c r="AE40" s="4"/>
      <c r="AF40" s="4"/>
      <c r="AG40" s="4"/>
      <c r="AH40" s="4"/>
      <c r="AI40" s="4"/>
    </row>
    <row r="41" spans="1:36">
      <c r="A41" t="s">
        <v>223</v>
      </c>
      <c r="B41" t="s">
        <v>178</v>
      </c>
      <c r="C41" t="s">
        <v>44</v>
      </c>
      <c r="D41" t="s">
        <v>23</v>
      </c>
      <c r="E41" t="s">
        <v>165</v>
      </c>
      <c r="F41">
        <v>85068</v>
      </c>
      <c r="G41">
        <v>58</v>
      </c>
      <c r="H41">
        <v>2011</v>
      </c>
      <c r="I41" t="str">
        <f>IF(Table1[[#This Row],[JoiningYear]]&lt;2015,"senior","junior")</f>
        <v>senior</v>
      </c>
      <c r="J41">
        <v>1.3</v>
      </c>
      <c r="K41" t="s">
        <v>224</v>
      </c>
      <c r="L41" t="s">
        <v>225</v>
      </c>
      <c r="M41" t="s">
        <v>121</v>
      </c>
      <c r="N41" t="str">
        <f>IF(Table1[[#This Row],[Salary]]&gt;70000,"high","low")</f>
        <v>high</v>
      </c>
      <c r="O41" t="str">
        <f>IF(Table1[[#This Row],[Rating]]&gt;=4,"Top performance","Average")</f>
        <v>Average</v>
      </c>
      <c r="P41" t="str">
        <f>IF(Table1[[#This Row],[JoiningYear]]&lt;2015,"Senior","Junior")</f>
        <v>Senior</v>
      </c>
      <c r="Q41" t="str">
        <f>_xlfn.CONCAT(Table1[[#This Row],[FirstName]]," ",Table1[[#This Row],[LastName]])</f>
        <v>Deepa Iyer</v>
      </c>
      <c r="R41" s="4" t="str">
        <f>_xlfn.CONCAT(LOWER(Table1[[#This Row],[FirstName]]),".",LOWER(Table1[[#This Row],[LastName]]),"@company.com")</f>
        <v>deepa.iyer@company.com</v>
      </c>
      <c r="S41" s="4" t="str">
        <f>_xlfn.CONCAT(Table1[[#This Row],[City]],"-",Table1[[#This Row],[Department]])</f>
        <v>Mumbai-HR</v>
      </c>
      <c r="T41" s="4">
        <f>LEN(Table1[[#This Row],[EmailRaw]])</f>
        <v>26</v>
      </c>
      <c r="U41" s="4">
        <f>LEN(Table1[[#This Row],[Full_name]])</f>
        <v>10</v>
      </c>
      <c r="V41" s="4">
        <f>LEN(TRIM(Table1[[#This Row],[EmailRaw]]))</f>
        <v>22</v>
      </c>
      <c r="W41" s="4">
        <f>Table1[[#This Row],[Len_row_mail]]-Table1[[#This Row],[trim_len_row_mail]]</f>
        <v>4</v>
      </c>
      <c r="X41" s="4" t="str">
        <f>TRIM(Table1[[#This Row],[Full_name]])</f>
        <v>Deepa Iyer</v>
      </c>
      <c r="Y41" s="4" t="str">
        <f>TRIM(Table1[[#This Row],[EmailRaw]])</f>
        <v>deepa.iyer@company.com</v>
      </c>
      <c r="Z41" s="4">
        <f>LEN(Table1[[#This Row],[Trimed_mail]])</f>
        <v>22</v>
      </c>
      <c r="AA41" s="4"/>
      <c r="AB41" s="4"/>
      <c r="AC41" s="4"/>
      <c r="AD41" s="4"/>
      <c r="AE41" s="4"/>
      <c r="AF41" s="4"/>
      <c r="AG41" s="4"/>
      <c r="AH41" s="4"/>
      <c r="AI41" s="4"/>
      <c r="AJ41" t="s">
        <v>475</v>
      </c>
    </row>
    <row r="42" spans="1:36">
      <c r="A42" t="s">
        <v>226</v>
      </c>
      <c r="B42" t="s">
        <v>43</v>
      </c>
      <c r="C42" t="s">
        <v>30</v>
      </c>
      <c r="D42" t="s">
        <v>90</v>
      </c>
      <c r="E42" t="s">
        <v>38</v>
      </c>
      <c r="F42">
        <v>70745</v>
      </c>
      <c r="G42">
        <v>26</v>
      </c>
      <c r="H42">
        <v>2013</v>
      </c>
      <c r="I42" t="str">
        <f>IF(Table1[[#This Row],[JoiningYear]]&lt;2015,"senior","junior")</f>
        <v>senior</v>
      </c>
      <c r="J42">
        <v>2.5</v>
      </c>
      <c r="K42" t="s">
        <v>227</v>
      </c>
      <c r="L42" t="s">
        <v>228</v>
      </c>
      <c r="M42" t="s">
        <v>229</v>
      </c>
      <c r="N42" t="str">
        <f>IF(Table1[[#This Row],[Salary]]&gt;70000,"high","low")</f>
        <v>high</v>
      </c>
      <c r="O42" t="str">
        <f>IF(Table1[[#This Row],[Rating]]&gt;=4,"Top performance","Average")</f>
        <v>Average</v>
      </c>
      <c r="P42" t="str">
        <f>IF(Table1[[#This Row],[JoiningYear]]&lt;2015,"Senior","Junior")</f>
        <v>Senior</v>
      </c>
      <c r="Q42" t="str">
        <f>_xlfn.CONCAT(Table1[[#This Row],[FirstName]]," ",Table1[[#This Row],[LastName]])</f>
        <v>Divya Pillai</v>
      </c>
      <c r="R42" s="4" t="str">
        <f>_xlfn.CONCAT(LOWER(Table1[[#This Row],[FirstName]]),".",LOWER(Table1[[#This Row],[LastName]]),"@company.com")</f>
        <v>divya.pillai@company.com</v>
      </c>
      <c r="S42" s="4" t="str">
        <f>_xlfn.CONCAT(Table1[[#This Row],[City]],"-",Table1[[#This Row],[Department]])</f>
        <v>Bangalore-Marketing</v>
      </c>
      <c r="T42" s="4">
        <f>LEN(Table1[[#This Row],[EmailRaw]])</f>
        <v>28</v>
      </c>
      <c r="U42" s="4">
        <f>LEN(Table1[[#This Row],[Full_name]])</f>
        <v>12</v>
      </c>
      <c r="V42" s="4">
        <f>LEN(TRIM(Table1[[#This Row],[EmailRaw]]))</f>
        <v>24</v>
      </c>
      <c r="W42" s="4">
        <f>Table1[[#This Row],[Len_row_mail]]-Table1[[#This Row],[trim_len_row_mail]]</f>
        <v>4</v>
      </c>
      <c r="X42" s="4" t="str">
        <f>TRIM(Table1[[#This Row],[Full_name]])</f>
        <v>Divya Pillai</v>
      </c>
      <c r="Y42" s="4" t="str">
        <f>TRIM(Table1[[#This Row],[EmailRaw]])</f>
        <v>divya.pillai@company.com</v>
      </c>
      <c r="Z42" s="4">
        <f>LEN(Table1[[#This Row],[Trimed_mail]])</f>
        <v>24</v>
      </c>
      <c r="AA42" s="4"/>
      <c r="AB42" s="4"/>
      <c r="AC42" s="4"/>
      <c r="AD42" s="4"/>
      <c r="AE42" s="4"/>
      <c r="AF42" s="4"/>
      <c r="AG42" s="4"/>
      <c r="AH42" s="4"/>
      <c r="AI42" s="4"/>
    </row>
    <row r="43" spans="1:36">
      <c r="A43" t="s">
        <v>230</v>
      </c>
      <c r="B43" t="s">
        <v>123</v>
      </c>
      <c r="C43" t="s">
        <v>124</v>
      </c>
      <c r="D43" t="s">
        <v>90</v>
      </c>
      <c r="E43" t="s">
        <v>24</v>
      </c>
      <c r="F43">
        <v>110717</v>
      </c>
      <c r="G43">
        <v>55</v>
      </c>
      <c r="H43">
        <v>2010</v>
      </c>
      <c r="I43" t="str">
        <f>IF(Table1[[#This Row],[JoiningYear]]&lt;2015,"senior","junior")</f>
        <v>senior</v>
      </c>
      <c r="J43">
        <v>3.7</v>
      </c>
      <c r="K43" t="s">
        <v>125</v>
      </c>
      <c r="L43" t="s">
        <v>126</v>
      </c>
      <c r="M43" t="s">
        <v>231</v>
      </c>
      <c r="N43" t="str">
        <f>IF(Table1[[#This Row],[Salary]]&gt;70000,"high","low")</f>
        <v>high</v>
      </c>
      <c r="O43" t="str">
        <f>IF(Table1[[#This Row],[Rating]]&gt;=4,"Top performance","Average")</f>
        <v>Average</v>
      </c>
      <c r="P43" t="str">
        <f>IF(Table1[[#This Row],[JoiningYear]]&lt;2015,"Senior","Junior")</f>
        <v>Senior</v>
      </c>
      <c r="Q43" t="str">
        <f>_xlfn.CONCAT(Table1[[#This Row],[FirstName]]," ",Table1[[#This Row],[LastName]])</f>
        <v>Suresh Das</v>
      </c>
      <c r="R43" s="4" t="str">
        <f>_xlfn.CONCAT(LOWER(Table1[[#This Row],[FirstName]]),".",LOWER(Table1[[#This Row],[LastName]]),"@company.com")</f>
        <v>suresh.das@company.com</v>
      </c>
      <c r="S43" s="4" t="str">
        <f>_xlfn.CONCAT(Table1[[#This Row],[City]],"-",Table1[[#This Row],[Department]])</f>
        <v>Surat-Marketing</v>
      </c>
      <c r="T43" s="4">
        <f>LEN(Table1[[#This Row],[EmailRaw]])</f>
        <v>26</v>
      </c>
      <c r="U43" s="4">
        <f>LEN(Table1[[#This Row],[Full_name]])</f>
        <v>10</v>
      </c>
      <c r="V43" s="4">
        <f>LEN(TRIM(Table1[[#This Row],[EmailRaw]]))</f>
        <v>22</v>
      </c>
      <c r="W43" s="4">
        <f>Table1[[#This Row],[Len_row_mail]]-Table1[[#This Row],[trim_len_row_mail]]</f>
        <v>4</v>
      </c>
      <c r="X43" s="4" t="str">
        <f>TRIM(Table1[[#This Row],[Full_name]])</f>
        <v>Suresh Das</v>
      </c>
      <c r="Y43" s="4" t="str">
        <f>TRIM(Table1[[#This Row],[EmailRaw]])</f>
        <v>suresh.das@company.com</v>
      </c>
      <c r="Z43" s="4">
        <f>LEN(Table1[[#This Row],[Trimed_mail]])</f>
        <v>22</v>
      </c>
      <c r="AA43" s="4"/>
      <c r="AB43" s="4"/>
      <c r="AC43" s="4"/>
      <c r="AD43" s="4"/>
      <c r="AE43" s="4"/>
      <c r="AF43" s="4"/>
      <c r="AG43" s="4"/>
      <c r="AH43" s="4"/>
      <c r="AI43" s="4"/>
      <c r="AJ43" t="s">
        <v>476</v>
      </c>
    </row>
    <row r="44" spans="1:36">
      <c r="A44" t="s">
        <v>232</v>
      </c>
      <c r="B44" t="s">
        <v>101</v>
      </c>
      <c r="C44" t="s">
        <v>63</v>
      </c>
      <c r="D44" t="s">
        <v>23</v>
      </c>
      <c r="E44" t="s">
        <v>38</v>
      </c>
      <c r="F44">
        <v>59664</v>
      </c>
      <c r="G44">
        <v>29</v>
      </c>
      <c r="H44">
        <v>2011</v>
      </c>
      <c r="I44" t="str">
        <f>IF(Table1[[#This Row],[JoiningYear]]&lt;2015,"senior","junior")</f>
        <v>senior</v>
      </c>
      <c r="J44">
        <v>4</v>
      </c>
      <c r="K44" t="s">
        <v>233</v>
      </c>
      <c r="L44" t="s">
        <v>234</v>
      </c>
      <c r="M44" t="s">
        <v>121</v>
      </c>
      <c r="N44" t="str">
        <f>IF(Table1[[#This Row],[Salary]]&gt;70000,"high","low")</f>
        <v>low</v>
      </c>
      <c r="O44" t="str">
        <f>IF(Table1[[#This Row],[Rating]]&gt;=4,"Top performance","Average")</f>
        <v>Top performance</v>
      </c>
      <c r="P44" t="str">
        <f>IF(Table1[[#This Row],[JoiningYear]]&lt;2015,"Senior","Junior")</f>
        <v>Senior</v>
      </c>
      <c r="Q44" t="str">
        <f>_xlfn.CONCAT(Table1[[#This Row],[FirstName]]," ",Table1[[#This Row],[LastName]])</f>
        <v>Rekha Reddy</v>
      </c>
      <c r="R44" s="4" t="str">
        <f>_xlfn.CONCAT(LOWER(Table1[[#This Row],[FirstName]]),".",LOWER(Table1[[#This Row],[LastName]]),"@company.com")</f>
        <v>rekha.reddy@company.com</v>
      </c>
      <c r="S44" s="4" t="str">
        <f>_xlfn.CONCAT(Table1[[#This Row],[City]],"-",Table1[[#This Row],[Department]])</f>
        <v>Bangalore-HR</v>
      </c>
      <c r="T44" s="4">
        <f>LEN(Table1[[#This Row],[EmailRaw]])</f>
        <v>27</v>
      </c>
      <c r="U44" s="4">
        <f>LEN(Table1[[#This Row],[Full_name]])</f>
        <v>11</v>
      </c>
      <c r="V44" s="4">
        <f>LEN(TRIM(Table1[[#This Row],[EmailRaw]]))</f>
        <v>23</v>
      </c>
      <c r="W44" s="4">
        <f>Table1[[#This Row],[Len_row_mail]]-Table1[[#This Row],[trim_len_row_mail]]</f>
        <v>4</v>
      </c>
      <c r="X44" s="4" t="str">
        <f>TRIM(Table1[[#This Row],[Full_name]])</f>
        <v>Rekha Reddy</v>
      </c>
      <c r="Y44" s="4" t="str">
        <f>TRIM(Table1[[#This Row],[EmailRaw]])</f>
        <v>rekha.reddy@company.com</v>
      </c>
      <c r="Z44" s="4">
        <f>LEN(Table1[[#This Row],[Trimed_mail]])</f>
        <v>23</v>
      </c>
      <c r="AA44" s="4"/>
      <c r="AB44" s="4"/>
      <c r="AC44" s="4"/>
      <c r="AD44" s="4"/>
      <c r="AE44" s="4"/>
      <c r="AF44" s="4"/>
      <c r="AG44" s="4"/>
      <c r="AH44" s="4"/>
      <c r="AI44" s="4"/>
    </row>
    <row r="45" spans="1:36">
      <c r="A45" t="s">
        <v>235</v>
      </c>
      <c r="B45" t="s">
        <v>236</v>
      </c>
      <c r="C45" t="s">
        <v>37</v>
      </c>
      <c r="D45" t="s">
        <v>90</v>
      </c>
      <c r="E45" t="s">
        <v>24</v>
      </c>
      <c r="F45">
        <v>52607</v>
      </c>
      <c r="G45">
        <v>43</v>
      </c>
      <c r="H45">
        <v>2013</v>
      </c>
      <c r="I45" t="str">
        <f>IF(Table1[[#This Row],[JoiningYear]]&lt;2015,"senior","junior")</f>
        <v>senior</v>
      </c>
      <c r="J45">
        <v>3.7</v>
      </c>
      <c r="K45" t="s">
        <v>237</v>
      </c>
      <c r="L45" t="s">
        <v>238</v>
      </c>
      <c r="M45" t="s">
        <v>229</v>
      </c>
      <c r="N45" t="str">
        <f>IF(Table1[[#This Row],[Salary]]&gt;70000,"high","low")</f>
        <v>low</v>
      </c>
      <c r="O45" t="str">
        <f>IF(Table1[[#This Row],[Rating]]&gt;=4,"Top performance","Average")</f>
        <v>Average</v>
      </c>
      <c r="P45" t="str">
        <f>IF(Table1[[#This Row],[JoiningYear]]&lt;2015,"Senior","Junior")</f>
        <v>Senior</v>
      </c>
      <c r="Q45" t="str">
        <f>_xlfn.CONCAT(Table1[[#This Row],[FirstName]]," ",Table1[[#This Row],[LastName]])</f>
        <v>Kavya Mehta</v>
      </c>
      <c r="R45" s="4" t="str">
        <f>_xlfn.CONCAT(LOWER(Table1[[#This Row],[FirstName]]),".",LOWER(Table1[[#This Row],[LastName]]),"@company.com")</f>
        <v>kavya.mehta@company.com</v>
      </c>
      <c r="S45" s="4" t="str">
        <f>_xlfn.CONCAT(Table1[[#This Row],[City]],"-",Table1[[#This Row],[Department]])</f>
        <v>Surat-Marketing</v>
      </c>
      <c r="T45" s="4">
        <f>LEN(Table1[[#This Row],[EmailRaw]])</f>
        <v>27</v>
      </c>
      <c r="U45" s="4">
        <f>LEN(Table1[[#This Row],[Full_name]])</f>
        <v>11</v>
      </c>
      <c r="V45" s="4">
        <f>LEN(TRIM(Table1[[#This Row],[EmailRaw]]))</f>
        <v>23</v>
      </c>
      <c r="W45" s="4">
        <f>Table1[[#This Row],[Len_row_mail]]-Table1[[#This Row],[trim_len_row_mail]]</f>
        <v>4</v>
      </c>
      <c r="X45" s="4" t="str">
        <f>TRIM(Table1[[#This Row],[Full_name]])</f>
        <v>Kavya Mehta</v>
      </c>
      <c r="Y45" s="4" t="str">
        <f>TRIM(Table1[[#This Row],[EmailRaw]])</f>
        <v>kavya.mehta@company.com</v>
      </c>
      <c r="Z45" s="4">
        <f>LEN(Table1[[#This Row],[Trimed_mail]])</f>
        <v>23</v>
      </c>
      <c r="AA45" s="4"/>
      <c r="AB45" s="4"/>
      <c r="AC45" s="4"/>
      <c r="AD45" s="4"/>
      <c r="AE45" s="4"/>
      <c r="AF45" s="4"/>
      <c r="AG45" s="4"/>
      <c r="AH45" s="4"/>
      <c r="AI45" s="4"/>
      <c r="AJ45" t="s">
        <v>477</v>
      </c>
    </row>
    <row r="46" spans="1:36">
      <c r="A46" t="s">
        <v>239</v>
      </c>
      <c r="B46" t="s">
        <v>240</v>
      </c>
      <c r="C46" t="s">
        <v>30</v>
      </c>
      <c r="D46" t="s">
        <v>107</v>
      </c>
      <c r="E46" t="s">
        <v>16</v>
      </c>
      <c r="F46">
        <v>31658</v>
      </c>
      <c r="G46">
        <v>27</v>
      </c>
      <c r="H46">
        <v>2020</v>
      </c>
      <c r="I46" t="str">
        <f>IF(Table1[[#This Row],[JoiningYear]]&lt;2015,"senior","junior")</f>
        <v>junior</v>
      </c>
      <c r="J46">
        <v>2.7</v>
      </c>
      <c r="K46" t="s">
        <v>241</v>
      </c>
      <c r="L46" t="s">
        <v>242</v>
      </c>
      <c r="M46" t="s">
        <v>243</v>
      </c>
      <c r="N46" t="str">
        <f>IF(Table1[[#This Row],[Salary]]&gt;70000,"high","low")</f>
        <v>low</v>
      </c>
      <c r="O46" t="str">
        <f>IF(Table1[[#This Row],[Rating]]&gt;=4,"Top performance","Average")</f>
        <v>Average</v>
      </c>
      <c r="P46" t="str">
        <f>IF(Table1[[#This Row],[JoiningYear]]&lt;2015,"Senior","Junior")</f>
        <v>Junior</v>
      </c>
      <c r="Q46" t="str">
        <f>_xlfn.CONCAT(Table1[[#This Row],[FirstName]]," ",Table1[[#This Row],[LastName]])</f>
        <v>Arjun Pillai</v>
      </c>
      <c r="R46" s="4" t="str">
        <f>_xlfn.CONCAT(LOWER(Table1[[#This Row],[FirstName]]),".",LOWER(Table1[[#This Row],[LastName]]),"@company.com")</f>
        <v>arjun.pillai@company.com</v>
      </c>
      <c r="S46" s="4" t="str">
        <f>_xlfn.CONCAT(Table1[[#This Row],[City]],"-",Table1[[#This Row],[Department]])</f>
        <v>Chennai-Legal</v>
      </c>
      <c r="T46" s="4">
        <f>LEN(Table1[[#This Row],[EmailRaw]])</f>
        <v>28</v>
      </c>
      <c r="U46" s="4">
        <f>LEN(Table1[[#This Row],[Full_name]])</f>
        <v>12</v>
      </c>
      <c r="V46" s="4">
        <f>LEN(TRIM(Table1[[#This Row],[EmailRaw]]))</f>
        <v>24</v>
      </c>
      <c r="W46" s="4">
        <f>Table1[[#This Row],[Len_row_mail]]-Table1[[#This Row],[trim_len_row_mail]]</f>
        <v>4</v>
      </c>
      <c r="X46" s="4" t="str">
        <f>TRIM(Table1[[#This Row],[Full_name]])</f>
        <v>Arjun Pillai</v>
      </c>
      <c r="Y46" s="4" t="str">
        <f>TRIM(Table1[[#This Row],[EmailRaw]])</f>
        <v>arjun.pillai@company.com</v>
      </c>
      <c r="Z46" s="4">
        <f>LEN(Table1[[#This Row],[Trimed_mail]])</f>
        <v>24</v>
      </c>
      <c r="AA46" s="4"/>
      <c r="AB46" s="4"/>
      <c r="AC46" s="4"/>
      <c r="AD46" s="4"/>
      <c r="AE46" s="4"/>
      <c r="AF46" s="4"/>
      <c r="AG46" s="4"/>
      <c r="AH46" s="4"/>
      <c r="AI46" s="4"/>
    </row>
    <row r="47" spans="1:36">
      <c r="A47" t="s">
        <v>244</v>
      </c>
      <c r="B47" t="s">
        <v>245</v>
      </c>
      <c r="C47" t="s">
        <v>179</v>
      </c>
      <c r="D47" t="s">
        <v>15</v>
      </c>
      <c r="E47" t="s">
        <v>71</v>
      </c>
      <c r="F47">
        <v>42146</v>
      </c>
      <c r="G47">
        <v>38</v>
      </c>
      <c r="H47">
        <v>2012</v>
      </c>
      <c r="I47" t="str">
        <f>IF(Table1[[#This Row],[JoiningYear]]&lt;2015,"senior","junior")</f>
        <v>senior</v>
      </c>
      <c r="J47">
        <v>4</v>
      </c>
      <c r="K47" t="s">
        <v>246</v>
      </c>
      <c r="L47" t="s">
        <v>247</v>
      </c>
      <c r="M47" t="s">
        <v>19</v>
      </c>
      <c r="N47" t="str">
        <f>IF(Table1[[#This Row],[Salary]]&gt;70000,"high","low")</f>
        <v>low</v>
      </c>
      <c r="O47" t="str">
        <f>IF(Table1[[#This Row],[Rating]]&gt;=4,"Top performance","Average")</f>
        <v>Top performance</v>
      </c>
      <c r="P47" t="str">
        <f>IF(Table1[[#This Row],[JoiningYear]]&lt;2015,"Senior","Junior")</f>
        <v>Senior</v>
      </c>
      <c r="Q47" t="str">
        <f>_xlfn.CONCAT(Table1[[#This Row],[FirstName]]," ",Table1[[#This Row],[LastName]])</f>
        <v>Swati Verma</v>
      </c>
      <c r="R47" s="4" t="str">
        <f>_xlfn.CONCAT(LOWER(Table1[[#This Row],[FirstName]]),".",LOWER(Table1[[#This Row],[LastName]]),"@company.com")</f>
        <v>swati.verma@company.com</v>
      </c>
      <c r="S47" s="4" t="str">
        <f>_xlfn.CONCAT(Table1[[#This Row],[City]],"-",Table1[[#This Row],[Department]])</f>
        <v>Pune-Sales</v>
      </c>
      <c r="T47" s="4">
        <f>LEN(Table1[[#This Row],[EmailRaw]])</f>
        <v>27</v>
      </c>
      <c r="U47" s="4">
        <f>LEN(Table1[[#This Row],[Full_name]])</f>
        <v>11</v>
      </c>
      <c r="V47" s="4">
        <f>LEN(TRIM(Table1[[#This Row],[EmailRaw]]))</f>
        <v>23</v>
      </c>
      <c r="W47" s="4">
        <f>Table1[[#This Row],[Len_row_mail]]-Table1[[#This Row],[trim_len_row_mail]]</f>
        <v>4</v>
      </c>
      <c r="X47" s="4" t="str">
        <f>TRIM(Table1[[#This Row],[Full_name]])</f>
        <v>Swati Verma</v>
      </c>
      <c r="Y47" s="4" t="str">
        <f>TRIM(Table1[[#This Row],[EmailRaw]])</f>
        <v>swati.verma@company.com</v>
      </c>
      <c r="Z47" s="4">
        <f>LEN(Table1[[#This Row],[Trimed_mail]])</f>
        <v>23</v>
      </c>
      <c r="AA47" s="4"/>
      <c r="AB47" s="4"/>
      <c r="AC47" s="4"/>
      <c r="AD47" s="4"/>
      <c r="AE47" s="4"/>
      <c r="AF47" s="4"/>
      <c r="AG47" s="4"/>
      <c r="AH47" s="4"/>
      <c r="AI47" s="4"/>
      <c r="AJ47" t="s">
        <v>481</v>
      </c>
    </row>
    <row r="48" spans="1:36">
      <c r="A48" t="s">
        <v>248</v>
      </c>
      <c r="B48" t="s">
        <v>101</v>
      </c>
      <c r="C48" t="s">
        <v>112</v>
      </c>
      <c r="D48" t="s">
        <v>15</v>
      </c>
      <c r="E48" t="s">
        <v>45</v>
      </c>
      <c r="F48">
        <v>34862</v>
      </c>
      <c r="G48">
        <v>31</v>
      </c>
      <c r="H48">
        <v>2018</v>
      </c>
      <c r="I48" t="str">
        <f>IF(Table1[[#This Row],[JoiningYear]]&lt;2015,"senior","junior")</f>
        <v>junior</v>
      </c>
      <c r="J48">
        <v>1.1000000000000001</v>
      </c>
      <c r="K48" t="s">
        <v>249</v>
      </c>
      <c r="L48" t="s">
        <v>250</v>
      </c>
      <c r="M48" t="s">
        <v>127</v>
      </c>
      <c r="N48" t="str">
        <f>IF(Table1[[#This Row],[Salary]]&gt;70000,"high","low")</f>
        <v>low</v>
      </c>
      <c r="O48" t="str">
        <f>IF(Table1[[#This Row],[Rating]]&gt;=4,"Top performance","Average")</f>
        <v>Average</v>
      </c>
      <c r="P48" t="str">
        <f>IF(Table1[[#This Row],[JoiningYear]]&lt;2015,"Senior","Junior")</f>
        <v>Junior</v>
      </c>
      <c r="Q48" t="str">
        <f>_xlfn.CONCAT(Table1[[#This Row],[FirstName]]," ",Table1[[#This Row],[LastName]])</f>
        <v>Rekha Bose</v>
      </c>
      <c r="R48" s="4" t="str">
        <f>_xlfn.CONCAT(LOWER(Table1[[#This Row],[FirstName]]),".",LOWER(Table1[[#This Row],[LastName]]),"@company.com")</f>
        <v>rekha.bose@company.com</v>
      </c>
      <c r="S48" s="4" t="str">
        <f>_xlfn.CONCAT(Table1[[#This Row],[City]],"-",Table1[[#This Row],[Department]])</f>
        <v>Delhi-Sales</v>
      </c>
      <c r="T48" s="4">
        <f>LEN(Table1[[#This Row],[EmailRaw]])</f>
        <v>26</v>
      </c>
      <c r="U48" s="4">
        <f>LEN(Table1[[#This Row],[Full_name]])</f>
        <v>10</v>
      </c>
      <c r="V48" s="4">
        <f>LEN(TRIM(Table1[[#This Row],[EmailRaw]]))</f>
        <v>22</v>
      </c>
      <c r="W48" s="4">
        <f>Table1[[#This Row],[Len_row_mail]]-Table1[[#This Row],[trim_len_row_mail]]</f>
        <v>4</v>
      </c>
      <c r="X48" s="4" t="str">
        <f>TRIM(Table1[[#This Row],[Full_name]])</f>
        <v>Rekha Bose</v>
      </c>
      <c r="Y48" s="4" t="str">
        <f>TRIM(Table1[[#This Row],[EmailRaw]])</f>
        <v>rekha.bose@company.com</v>
      </c>
      <c r="Z48" s="4">
        <f>LEN(Table1[[#This Row],[Trimed_mail]])</f>
        <v>22</v>
      </c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t="s">
        <v>251</v>
      </c>
      <c r="B49" t="s">
        <v>69</v>
      </c>
      <c r="C49" t="s">
        <v>252</v>
      </c>
      <c r="D49" t="s">
        <v>78</v>
      </c>
      <c r="E49" t="s">
        <v>113</v>
      </c>
      <c r="F49">
        <v>41704</v>
      </c>
      <c r="G49">
        <v>24</v>
      </c>
      <c r="H49">
        <v>2014</v>
      </c>
      <c r="I49" t="str">
        <f>IF(Table1[[#This Row],[JoiningYear]]&lt;2015,"senior","junior")</f>
        <v>senior</v>
      </c>
      <c r="J49">
        <v>2.5</v>
      </c>
      <c r="K49" t="s">
        <v>253</v>
      </c>
      <c r="L49" t="s">
        <v>254</v>
      </c>
      <c r="M49" t="s">
        <v>201</v>
      </c>
      <c r="N49" t="str">
        <f>IF(Table1[[#This Row],[Salary]]&gt;70000,"high","low")</f>
        <v>low</v>
      </c>
      <c r="O49" t="str">
        <f>IF(Table1[[#This Row],[Rating]]&gt;=4,"Top performance","Average")</f>
        <v>Average</v>
      </c>
      <c r="P49" t="str">
        <f>IF(Table1[[#This Row],[JoiningYear]]&lt;2015,"Senior","Junior")</f>
        <v>Senior</v>
      </c>
      <c r="Q49" t="str">
        <f>_xlfn.CONCAT(Table1[[#This Row],[FirstName]]," ",Table1[[#This Row],[LastName]])</f>
        <v>Tanya Shah</v>
      </c>
      <c r="R49" s="4" t="str">
        <f>_xlfn.CONCAT(LOWER(Table1[[#This Row],[FirstName]]),".",LOWER(Table1[[#This Row],[LastName]]),"@company.com")</f>
        <v>tanya.shah@company.com</v>
      </c>
      <c r="S49" s="4" t="str">
        <f>_xlfn.CONCAT(Table1[[#This Row],[City]],"-",Table1[[#This Row],[Department]])</f>
        <v>Kolkata-Finance</v>
      </c>
      <c r="T49" s="4">
        <f>LEN(Table1[[#This Row],[EmailRaw]])</f>
        <v>26</v>
      </c>
      <c r="U49" s="4">
        <f>LEN(Table1[[#This Row],[Full_name]])</f>
        <v>10</v>
      </c>
      <c r="V49" s="4">
        <f>LEN(TRIM(Table1[[#This Row],[EmailRaw]]))</f>
        <v>22</v>
      </c>
      <c r="W49" s="4">
        <f>Table1[[#This Row],[Len_row_mail]]-Table1[[#This Row],[trim_len_row_mail]]</f>
        <v>4</v>
      </c>
      <c r="X49" s="4" t="str">
        <f>TRIM(Table1[[#This Row],[Full_name]])</f>
        <v>Tanya Shah</v>
      </c>
      <c r="Y49" s="4" t="str">
        <f>TRIM(Table1[[#This Row],[EmailRaw]])</f>
        <v>tanya.shah@company.com</v>
      </c>
      <c r="Z49" s="4">
        <f>LEN(Table1[[#This Row],[Trimed_mail]])</f>
        <v>22</v>
      </c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t="s">
        <v>255</v>
      </c>
      <c r="B50" t="s">
        <v>256</v>
      </c>
      <c r="C50" t="s">
        <v>154</v>
      </c>
      <c r="D50" t="s">
        <v>83</v>
      </c>
      <c r="E50" t="s">
        <v>64</v>
      </c>
      <c r="F50">
        <v>112416</v>
      </c>
      <c r="G50">
        <v>28</v>
      </c>
      <c r="H50">
        <v>2015</v>
      </c>
      <c r="I50" t="str">
        <f>IF(Table1[[#This Row],[JoiningYear]]&lt;2015,"senior","junior")</f>
        <v>junior</v>
      </c>
      <c r="J50">
        <v>4.0999999999999996</v>
      </c>
      <c r="K50" t="s">
        <v>257</v>
      </c>
      <c r="L50" t="s">
        <v>258</v>
      </c>
      <c r="M50" t="s">
        <v>176</v>
      </c>
      <c r="N50" t="str">
        <f>IF(Table1[[#This Row],[Salary]]&gt;70000,"high","low")</f>
        <v>high</v>
      </c>
      <c r="O50" t="str">
        <f>IF(Table1[[#This Row],[Rating]]&gt;=4,"Top performance","Average")</f>
        <v>Top performance</v>
      </c>
      <c r="P50" t="str">
        <f>IF(Table1[[#This Row],[JoiningYear]]&lt;2015,"Senior","Junior")</f>
        <v>Junior</v>
      </c>
      <c r="Q50" t="str">
        <f>_xlfn.CONCAT(Table1[[#This Row],[FirstName]]," ",Table1[[#This Row],[LastName]])</f>
        <v>Rahul Kapoor</v>
      </c>
      <c r="R50" s="4" t="str">
        <f>_xlfn.CONCAT(LOWER(Table1[[#This Row],[FirstName]]),".",LOWER(Table1[[#This Row],[LastName]]),"@company.com")</f>
        <v>rahul.kapoor@company.com</v>
      </c>
      <c r="S50" s="4" t="str">
        <f>_xlfn.CONCAT(Table1[[#This Row],[City]],"-",Table1[[#This Row],[Department]])</f>
        <v>Hyderabad-IT</v>
      </c>
      <c r="T50" s="4">
        <f>LEN(Table1[[#This Row],[EmailRaw]])</f>
        <v>28</v>
      </c>
      <c r="U50" s="4">
        <f>LEN(Table1[[#This Row],[Full_name]])</f>
        <v>12</v>
      </c>
      <c r="V50" s="4">
        <f>LEN(TRIM(Table1[[#This Row],[EmailRaw]]))</f>
        <v>24</v>
      </c>
      <c r="W50" s="4">
        <f>Table1[[#This Row],[Len_row_mail]]-Table1[[#This Row],[trim_len_row_mail]]</f>
        <v>4</v>
      </c>
      <c r="X50" s="4" t="str">
        <f>TRIM(Table1[[#This Row],[Full_name]])</f>
        <v>Rahul Kapoor</v>
      </c>
      <c r="Y50" s="4" t="str">
        <f>TRIM(Table1[[#This Row],[EmailRaw]])</f>
        <v>rahul.kapoor@company.com</v>
      </c>
      <c r="Z50" s="4">
        <f>LEN(Table1[[#This Row],[Trimed_mail]])</f>
        <v>24</v>
      </c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t="s">
        <v>259</v>
      </c>
      <c r="B51" t="s">
        <v>260</v>
      </c>
      <c r="C51" t="s">
        <v>56</v>
      </c>
      <c r="D51" t="s">
        <v>78</v>
      </c>
      <c r="E51" t="s">
        <v>64</v>
      </c>
      <c r="F51">
        <v>46299</v>
      </c>
      <c r="G51">
        <v>33</v>
      </c>
      <c r="H51">
        <v>2016</v>
      </c>
      <c r="I51" t="str">
        <f>IF(Table1[[#This Row],[JoiningYear]]&lt;2015,"senior","junior")</f>
        <v>junior</v>
      </c>
      <c r="J51">
        <v>1.1000000000000001</v>
      </c>
      <c r="K51" t="s">
        <v>261</v>
      </c>
      <c r="L51" t="s">
        <v>262</v>
      </c>
      <c r="M51" t="s">
        <v>263</v>
      </c>
      <c r="N51" t="str">
        <f>IF(Table1[[#This Row],[Salary]]&gt;70000,"high","low")</f>
        <v>low</v>
      </c>
      <c r="O51" t="str">
        <f>IF(Table1[[#This Row],[Rating]]&gt;=4,"Top performance","Average")</f>
        <v>Average</v>
      </c>
      <c r="P51" t="str">
        <f>IF(Table1[[#This Row],[JoiningYear]]&lt;2015,"Senior","Junior")</f>
        <v>Junior</v>
      </c>
      <c r="Q51" t="str">
        <f>_xlfn.CONCAT(Table1[[#This Row],[FirstName]]," ",Table1[[#This Row],[LastName]])</f>
        <v>Manish Sinha</v>
      </c>
      <c r="R51" s="4" t="str">
        <f>_xlfn.CONCAT(LOWER(Table1[[#This Row],[FirstName]]),".",LOWER(Table1[[#This Row],[LastName]]),"@company.com")</f>
        <v>manish.sinha@company.com</v>
      </c>
      <c r="S51" s="4" t="str">
        <f>_xlfn.CONCAT(Table1[[#This Row],[City]],"-",Table1[[#This Row],[Department]])</f>
        <v>Hyderabad-Finance</v>
      </c>
      <c r="T51" s="4">
        <f>LEN(Table1[[#This Row],[EmailRaw]])</f>
        <v>28</v>
      </c>
      <c r="U51" s="4">
        <f>LEN(Table1[[#This Row],[Full_name]])</f>
        <v>12</v>
      </c>
      <c r="V51" s="4">
        <f>LEN(TRIM(Table1[[#This Row],[EmailRaw]]))</f>
        <v>24</v>
      </c>
      <c r="W51" s="4">
        <f>Table1[[#This Row],[Len_row_mail]]-Table1[[#This Row],[trim_len_row_mail]]</f>
        <v>4</v>
      </c>
      <c r="X51" s="4" t="str">
        <f>TRIM(Table1[[#This Row],[Full_name]])</f>
        <v>Manish Sinha</v>
      </c>
      <c r="Y51" s="4" t="str">
        <f>TRIM(Table1[[#This Row],[EmailRaw]])</f>
        <v>manish.sinha@company.com</v>
      </c>
      <c r="Z51" s="4">
        <f>LEN(Table1[[#This Row],[Trimed_mail]])</f>
        <v>24</v>
      </c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t="s">
        <v>264</v>
      </c>
      <c r="B52" t="s">
        <v>265</v>
      </c>
      <c r="C52" t="s">
        <v>44</v>
      </c>
      <c r="D52" t="s">
        <v>96</v>
      </c>
      <c r="E52" t="s">
        <v>64</v>
      </c>
      <c r="F52">
        <v>59970</v>
      </c>
      <c r="G52">
        <v>32</v>
      </c>
      <c r="H52">
        <v>2022</v>
      </c>
      <c r="I52" t="str">
        <f>IF(Table1[[#This Row],[JoiningYear]]&lt;2015,"senior","junior")</f>
        <v>junior</v>
      </c>
      <c r="J52">
        <v>3.8</v>
      </c>
      <c r="K52" t="s">
        <v>266</v>
      </c>
      <c r="L52" t="s">
        <v>267</v>
      </c>
      <c r="M52" t="s">
        <v>268</v>
      </c>
      <c r="N52" t="str">
        <f>IF(Table1[[#This Row],[Salary]]&gt;70000,"high","low")</f>
        <v>low</v>
      </c>
      <c r="O52" t="str">
        <f>IF(Table1[[#This Row],[Rating]]&gt;=4,"Top performance","Average")</f>
        <v>Average</v>
      </c>
      <c r="P52" t="str">
        <f>IF(Table1[[#This Row],[JoiningYear]]&lt;2015,"Senior","Junior")</f>
        <v>Junior</v>
      </c>
      <c r="Q52" t="str">
        <f>_xlfn.CONCAT(Table1[[#This Row],[FirstName]]," ",Table1[[#This Row],[LastName]])</f>
        <v>Jyoti Iyer</v>
      </c>
      <c r="R52" s="4" t="str">
        <f>_xlfn.CONCAT(LOWER(Table1[[#This Row],[FirstName]]),".",LOWER(Table1[[#This Row],[LastName]]),"@company.com")</f>
        <v>jyoti.iyer@company.com</v>
      </c>
      <c r="S52" s="4" t="str">
        <f>_xlfn.CONCAT(Table1[[#This Row],[City]],"-",Table1[[#This Row],[Department]])</f>
        <v>Hyderabad-Support</v>
      </c>
      <c r="T52" s="4">
        <f>LEN(Table1[[#This Row],[EmailRaw]])</f>
        <v>26</v>
      </c>
      <c r="U52" s="4">
        <f>LEN(Table1[[#This Row],[Full_name]])</f>
        <v>10</v>
      </c>
      <c r="V52" s="4">
        <f>LEN(TRIM(Table1[[#This Row],[EmailRaw]]))</f>
        <v>22</v>
      </c>
      <c r="W52" s="4">
        <f>Table1[[#This Row],[Len_row_mail]]-Table1[[#This Row],[trim_len_row_mail]]</f>
        <v>4</v>
      </c>
      <c r="X52" s="4" t="str">
        <f>TRIM(Table1[[#This Row],[Full_name]])</f>
        <v>Jyoti Iyer</v>
      </c>
      <c r="Y52" s="4" t="str">
        <f>TRIM(Table1[[#This Row],[EmailRaw]])</f>
        <v>jyoti.iyer@company.com</v>
      </c>
      <c r="Z52" s="4">
        <f>LEN(Table1[[#This Row],[Trimed_mail]])</f>
        <v>22</v>
      </c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t="s">
        <v>269</v>
      </c>
      <c r="B53" t="s">
        <v>270</v>
      </c>
      <c r="C53" t="s">
        <v>179</v>
      </c>
      <c r="D53" t="s">
        <v>107</v>
      </c>
      <c r="E53" t="s">
        <v>64</v>
      </c>
      <c r="F53">
        <v>51158</v>
      </c>
      <c r="G53">
        <v>51</v>
      </c>
      <c r="H53">
        <v>2015</v>
      </c>
      <c r="I53" t="str">
        <f>IF(Table1[[#This Row],[JoiningYear]]&lt;2015,"senior","junior")</f>
        <v>junior</v>
      </c>
      <c r="J53">
        <v>2.2000000000000002</v>
      </c>
      <c r="K53" t="s">
        <v>271</v>
      </c>
      <c r="L53" t="s">
        <v>272</v>
      </c>
      <c r="M53" t="s">
        <v>273</v>
      </c>
      <c r="N53" t="str">
        <f>IF(Table1[[#This Row],[Salary]]&gt;70000,"high","low")</f>
        <v>low</v>
      </c>
      <c r="O53" t="str">
        <f>IF(Table1[[#This Row],[Rating]]&gt;=4,"Top performance","Average")</f>
        <v>Average</v>
      </c>
      <c r="P53" t="str">
        <f>IF(Table1[[#This Row],[JoiningYear]]&lt;2015,"Senior","Junior")</f>
        <v>Junior</v>
      </c>
      <c r="Q53" t="str">
        <f>_xlfn.CONCAT(Table1[[#This Row],[FirstName]]," ",Table1[[#This Row],[LastName]])</f>
        <v>Vivek Verma</v>
      </c>
      <c r="R53" s="4" t="str">
        <f>_xlfn.CONCAT(LOWER(Table1[[#This Row],[FirstName]]),".",LOWER(Table1[[#This Row],[LastName]]),"@company.com")</f>
        <v>vivek.verma@company.com</v>
      </c>
      <c r="S53" s="4" t="str">
        <f>_xlfn.CONCAT(Table1[[#This Row],[City]],"-",Table1[[#This Row],[Department]])</f>
        <v>Hyderabad-Legal</v>
      </c>
      <c r="T53" s="4">
        <f>LEN(Table1[[#This Row],[EmailRaw]])</f>
        <v>27</v>
      </c>
      <c r="U53" s="4">
        <f>LEN(Table1[[#This Row],[Full_name]])</f>
        <v>11</v>
      </c>
      <c r="V53" s="4">
        <f>LEN(TRIM(Table1[[#This Row],[EmailRaw]]))</f>
        <v>23</v>
      </c>
      <c r="W53" s="4">
        <f>Table1[[#This Row],[Len_row_mail]]-Table1[[#This Row],[trim_len_row_mail]]</f>
        <v>4</v>
      </c>
      <c r="X53" s="4" t="str">
        <f>TRIM(Table1[[#This Row],[Full_name]])</f>
        <v>Vivek Verma</v>
      </c>
      <c r="Y53" s="4" t="str">
        <f>TRIM(Table1[[#This Row],[EmailRaw]])</f>
        <v>vivek.verma@company.com</v>
      </c>
      <c r="Z53" s="4">
        <f>LEN(Table1[[#This Row],[Trimed_mail]])</f>
        <v>23</v>
      </c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t="s">
        <v>274</v>
      </c>
      <c r="B54" t="s">
        <v>29</v>
      </c>
      <c r="C54" t="s">
        <v>139</v>
      </c>
      <c r="D54" t="s">
        <v>15</v>
      </c>
      <c r="E54" t="s">
        <v>64</v>
      </c>
      <c r="F54">
        <v>77227</v>
      </c>
      <c r="G54">
        <v>43</v>
      </c>
      <c r="H54">
        <v>2014</v>
      </c>
      <c r="I54" t="str">
        <f>IF(Table1[[#This Row],[JoiningYear]]&lt;2015,"senior","junior")</f>
        <v>senior</v>
      </c>
      <c r="J54">
        <v>4.5</v>
      </c>
      <c r="K54" t="s">
        <v>275</v>
      </c>
      <c r="L54" t="s">
        <v>276</v>
      </c>
      <c r="M54" t="s">
        <v>277</v>
      </c>
      <c r="N54" t="str">
        <f>IF(Table1[[#This Row],[Salary]]&gt;70000,"high","low")</f>
        <v>high</v>
      </c>
      <c r="O54" t="str">
        <f>IF(Table1[[#This Row],[Rating]]&gt;=4,"Top performance","Average")</f>
        <v>Top performance</v>
      </c>
      <c r="P54" t="str">
        <f>IF(Table1[[#This Row],[JoiningYear]]&lt;2015,"Senior","Junior")</f>
        <v>Senior</v>
      </c>
      <c r="Q54" t="str">
        <f>_xlfn.CONCAT(Table1[[#This Row],[FirstName]]," ",Table1[[#This Row],[LastName]])</f>
        <v>Karan Nair</v>
      </c>
      <c r="R54" s="4" t="str">
        <f>_xlfn.CONCAT(LOWER(Table1[[#This Row],[FirstName]]),".",LOWER(Table1[[#This Row],[LastName]]),"@company.com")</f>
        <v>karan.nair@company.com</v>
      </c>
      <c r="S54" s="4" t="str">
        <f>_xlfn.CONCAT(Table1[[#This Row],[City]],"-",Table1[[#This Row],[Department]])</f>
        <v>Hyderabad-Sales</v>
      </c>
      <c r="T54" s="4">
        <f>LEN(Table1[[#This Row],[EmailRaw]])</f>
        <v>26</v>
      </c>
      <c r="U54" s="4">
        <f>LEN(Table1[[#This Row],[Full_name]])</f>
        <v>10</v>
      </c>
      <c r="V54" s="4">
        <f>LEN(TRIM(Table1[[#This Row],[EmailRaw]]))</f>
        <v>22</v>
      </c>
      <c r="W54" s="4">
        <f>Table1[[#This Row],[Len_row_mail]]-Table1[[#This Row],[trim_len_row_mail]]</f>
        <v>4</v>
      </c>
      <c r="X54" s="4" t="str">
        <f>TRIM(Table1[[#This Row],[Full_name]])</f>
        <v>Karan Nair</v>
      </c>
      <c r="Y54" s="4" t="str">
        <f>TRIM(Table1[[#This Row],[EmailRaw]])</f>
        <v>karan.nair@company.com</v>
      </c>
      <c r="Z54" s="4">
        <f>LEN(Table1[[#This Row],[Trimed_mail]])</f>
        <v>22</v>
      </c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t="s">
        <v>278</v>
      </c>
      <c r="B55" t="s">
        <v>62</v>
      </c>
      <c r="C55" t="s">
        <v>37</v>
      </c>
      <c r="D55" t="s">
        <v>57</v>
      </c>
      <c r="E55" t="s">
        <v>31</v>
      </c>
      <c r="F55">
        <v>77386</v>
      </c>
      <c r="G55">
        <v>56</v>
      </c>
      <c r="H55">
        <v>2015</v>
      </c>
      <c r="I55" t="str">
        <f>IF(Table1[[#This Row],[JoiningYear]]&lt;2015,"senior","junior")</f>
        <v>junior</v>
      </c>
      <c r="J55">
        <v>4.8</v>
      </c>
      <c r="K55" t="s">
        <v>279</v>
      </c>
      <c r="L55" t="s">
        <v>280</v>
      </c>
      <c r="M55" t="s">
        <v>136</v>
      </c>
      <c r="N55" t="str">
        <f>IF(Table1[[#This Row],[Salary]]&gt;70000,"high","low")</f>
        <v>high</v>
      </c>
      <c r="O55" t="str">
        <f>IF(Table1[[#This Row],[Rating]]&gt;=4,"Top performance","Average")</f>
        <v>Top performance</v>
      </c>
      <c r="P55" t="str">
        <f>IF(Table1[[#This Row],[JoiningYear]]&lt;2015,"Senior","Junior")</f>
        <v>Junior</v>
      </c>
      <c r="Q55" t="str">
        <f>_xlfn.CONCAT(Table1[[#This Row],[FirstName]]," ",Table1[[#This Row],[LastName]])</f>
        <v>Neha Mehta</v>
      </c>
      <c r="R55" s="4" t="str">
        <f>_xlfn.CONCAT(LOWER(Table1[[#This Row],[FirstName]]),".",LOWER(Table1[[#This Row],[LastName]]),"@company.com")</f>
        <v>neha.mehta@company.com</v>
      </c>
      <c r="S55" s="4" t="str">
        <f>_xlfn.CONCAT(Table1[[#This Row],[City]],"-",Table1[[#This Row],[Department]])</f>
        <v>Ahmedabad-Operations</v>
      </c>
      <c r="T55" s="4">
        <f>LEN(Table1[[#This Row],[EmailRaw]])</f>
        <v>26</v>
      </c>
      <c r="U55" s="4">
        <f>LEN(Table1[[#This Row],[Full_name]])</f>
        <v>10</v>
      </c>
      <c r="V55" s="4">
        <f>LEN(TRIM(Table1[[#This Row],[EmailRaw]]))</f>
        <v>22</v>
      </c>
      <c r="W55" s="4">
        <f>Table1[[#This Row],[Len_row_mail]]-Table1[[#This Row],[trim_len_row_mail]]</f>
        <v>4</v>
      </c>
      <c r="X55" s="4" t="str">
        <f>TRIM(Table1[[#This Row],[Full_name]])</f>
        <v>Neha Mehta</v>
      </c>
      <c r="Y55" s="4" t="str">
        <f>TRIM(Table1[[#This Row],[EmailRaw]])</f>
        <v>neha.mehta@company.com</v>
      </c>
      <c r="Z55" s="4">
        <f>LEN(Table1[[#This Row],[Trimed_mail]])</f>
        <v>22</v>
      </c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t="s">
        <v>281</v>
      </c>
      <c r="B56" t="s">
        <v>282</v>
      </c>
      <c r="C56" t="s">
        <v>37</v>
      </c>
      <c r="D56" t="s">
        <v>78</v>
      </c>
      <c r="E56" t="s">
        <v>24</v>
      </c>
      <c r="F56">
        <v>59795</v>
      </c>
      <c r="G56">
        <v>24</v>
      </c>
      <c r="H56">
        <v>2011</v>
      </c>
      <c r="I56" t="str">
        <f>IF(Table1[[#This Row],[JoiningYear]]&lt;2015,"senior","junior")</f>
        <v>senior</v>
      </c>
      <c r="J56">
        <v>3.4</v>
      </c>
      <c r="K56" t="s">
        <v>283</v>
      </c>
      <c r="L56" t="s">
        <v>284</v>
      </c>
      <c r="M56" t="s">
        <v>285</v>
      </c>
      <c r="N56" t="str">
        <f>IF(Table1[[#This Row],[Salary]]&gt;70000,"high","low")</f>
        <v>low</v>
      </c>
      <c r="O56" t="str">
        <f>IF(Table1[[#This Row],[Rating]]&gt;=4,"Top performance","Average")</f>
        <v>Average</v>
      </c>
      <c r="P56" t="str">
        <f>IF(Table1[[#This Row],[JoiningYear]]&lt;2015,"Senior","Junior")</f>
        <v>Senior</v>
      </c>
      <c r="Q56" t="str">
        <f>_xlfn.CONCAT(Table1[[#This Row],[FirstName]]," ",Table1[[#This Row],[LastName]])</f>
        <v>Pooja Mehta</v>
      </c>
      <c r="R56" s="4" t="str">
        <f>_xlfn.CONCAT(LOWER(Table1[[#This Row],[FirstName]]),".",LOWER(Table1[[#This Row],[LastName]]),"@company.com")</f>
        <v>pooja.mehta@company.com</v>
      </c>
      <c r="S56" s="4" t="str">
        <f>_xlfn.CONCAT(Table1[[#This Row],[City]],"-",Table1[[#This Row],[Department]])</f>
        <v>Surat-Finance</v>
      </c>
      <c r="T56" s="4">
        <f>LEN(Table1[[#This Row],[EmailRaw]])</f>
        <v>27</v>
      </c>
      <c r="U56" s="4">
        <f>LEN(Table1[[#This Row],[Full_name]])</f>
        <v>11</v>
      </c>
      <c r="V56" s="4">
        <f>LEN(TRIM(Table1[[#This Row],[EmailRaw]]))</f>
        <v>23</v>
      </c>
      <c r="W56" s="4">
        <f>Table1[[#This Row],[Len_row_mail]]-Table1[[#This Row],[trim_len_row_mail]]</f>
        <v>4</v>
      </c>
      <c r="X56" s="4" t="str">
        <f>TRIM(Table1[[#This Row],[Full_name]])</f>
        <v>Pooja Mehta</v>
      </c>
      <c r="Y56" s="4" t="str">
        <f>TRIM(Table1[[#This Row],[EmailRaw]])</f>
        <v>pooja.mehta@company.com</v>
      </c>
      <c r="Z56" s="4">
        <f>LEN(Table1[[#This Row],[Trimed_mail]])</f>
        <v>23</v>
      </c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t="s">
        <v>286</v>
      </c>
      <c r="B57" t="s">
        <v>287</v>
      </c>
      <c r="C57" t="s">
        <v>44</v>
      </c>
      <c r="D57" t="s">
        <v>96</v>
      </c>
      <c r="E57" t="s">
        <v>24</v>
      </c>
      <c r="F57">
        <v>92033</v>
      </c>
      <c r="G57">
        <v>29</v>
      </c>
      <c r="H57">
        <v>2016</v>
      </c>
      <c r="I57" t="str">
        <f>IF(Table1[[#This Row],[JoiningYear]]&lt;2015,"senior","junior")</f>
        <v>junior</v>
      </c>
      <c r="J57">
        <v>4.5999999999999996</v>
      </c>
      <c r="K57" t="s">
        <v>288</v>
      </c>
      <c r="L57" t="s">
        <v>289</v>
      </c>
      <c r="M57" t="s">
        <v>290</v>
      </c>
      <c r="N57" t="str">
        <f>IF(Table1[[#This Row],[Salary]]&gt;70000,"high","low")</f>
        <v>high</v>
      </c>
      <c r="O57" t="str">
        <f>IF(Table1[[#This Row],[Rating]]&gt;=4,"Top performance","Average")</f>
        <v>Top performance</v>
      </c>
      <c r="P57" t="str">
        <f>IF(Table1[[#This Row],[JoiningYear]]&lt;2015,"Senior","Junior")</f>
        <v>Junior</v>
      </c>
      <c r="Q57" t="str">
        <f>_xlfn.CONCAT(Table1[[#This Row],[FirstName]]," ",Table1[[#This Row],[LastName]])</f>
        <v>Anil Iyer</v>
      </c>
      <c r="R57" s="4" t="str">
        <f>_xlfn.CONCAT(LOWER(Table1[[#This Row],[FirstName]]),".",LOWER(Table1[[#This Row],[LastName]]),"@company.com")</f>
        <v>anil.iyer@company.com</v>
      </c>
      <c r="S57" s="4" t="str">
        <f>_xlfn.CONCAT(Table1[[#This Row],[City]],"-",Table1[[#This Row],[Department]])</f>
        <v>Surat-Support</v>
      </c>
      <c r="T57" s="4">
        <f>LEN(Table1[[#This Row],[EmailRaw]])</f>
        <v>25</v>
      </c>
      <c r="U57" s="4">
        <f>LEN(Table1[[#This Row],[Full_name]])</f>
        <v>9</v>
      </c>
      <c r="V57" s="4">
        <f>LEN(TRIM(Table1[[#This Row],[EmailRaw]]))</f>
        <v>21</v>
      </c>
      <c r="W57" s="4">
        <f>Table1[[#This Row],[Len_row_mail]]-Table1[[#This Row],[trim_len_row_mail]]</f>
        <v>4</v>
      </c>
      <c r="X57" s="4" t="str">
        <f>TRIM(Table1[[#This Row],[Full_name]])</f>
        <v>Anil Iyer</v>
      </c>
      <c r="Y57" s="4" t="str">
        <f>TRIM(Table1[[#This Row],[EmailRaw]])</f>
        <v>anil.iyer@company.com</v>
      </c>
      <c r="Z57" s="4">
        <f>LEN(Table1[[#This Row],[Trimed_mail]])</f>
        <v>21</v>
      </c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t="s">
        <v>291</v>
      </c>
      <c r="B58" t="s">
        <v>292</v>
      </c>
      <c r="C58" t="s">
        <v>37</v>
      </c>
      <c r="D58" t="s">
        <v>15</v>
      </c>
      <c r="E58" t="s">
        <v>113</v>
      </c>
      <c r="F58">
        <v>25221</v>
      </c>
      <c r="G58">
        <v>55</v>
      </c>
      <c r="H58">
        <v>2022</v>
      </c>
      <c r="I58" t="str">
        <f>IF(Table1[[#This Row],[JoiningYear]]&lt;2015,"senior","junior")</f>
        <v>junior</v>
      </c>
      <c r="J58">
        <v>3.2</v>
      </c>
      <c r="K58" t="s">
        <v>293</v>
      </c>
      <c r="L58" t="s">
        <v>294</v>
      </c>
      <c r="M58" t="s">
        <v>295</v>
      </c>
      <c r="N58" t="str">
        <f>IF(Table1[[#This Row],[Salary]]&gt;70000,"high","low")</f>
        <v>low</v>
      </c>
      <c r="O58" t="str">
        <f>IF(Table1[[#This Row],[Rating]]&gt;=4,"Top performance","Average")</f>
        <v>Average</v>
      </c>
      <c r="P58" t="str">
        <f>IF(Table1[[#This Row],[JoiningYear]]&lt;2015,"Senior","Junior")</f>
        <v>Junior</v>
      </c>
      <c r="Q58" t="str">
        <f>_xlfn.CONCAT(Table1[[#This Row],[FirstName]]," ",Table1[[#This Row],[LastName]])</f>
        <v>Nikhil Mehta</v>
      </c>
      <c r="R58" s="4" t="str">
        <f>_xlfn.CONCAT(LOWER(Table1[[#This Row],[FirstName]]),".",LOWER(Table1[[#This Row],[LastName]]),"@company.com")</f>
        <v>nikhil.mehta@company.com</v>
      </c>
      <c r="S58" s="4" t="str">
        <f>_xlfn.CONCAT(Table1[[#This Row],[City]],"-",Table1[[#This Row],[Department]])</f>
        <v>Kolkata-Sales</v>
      </c>
      <c r="T58" s="4">
        <f>LEN(Table1[[#This Row],[EmailRaw]])</f>
        <v>28</v>
      </c>
      <c r="U58" s="4">
        <f>LEN(Table1[[#This Row],[Full_name]])</f>
        <v>12</v>
      </c>
      <c r="V58" s="4">
        <f>LEN(TRIM(Table1[[#This Row],[EmailRaw]]))</f>
        <v>24</v>
      </c>
      <c r="W58" s="4">
        <f>Table1[[#This Row],[Len_row_mail]]-Table1[[#This Row],[trim_len_row_mail]]</f>
        <v>4</v>
      </c>
      <c r="X58" s="4" t="str">
        <f>TRIM(Table1[[#This Row],[Full_name]])</f>
        <v>Nikhil Mehta</v>
      </c>
      <c r="Y58" s="4" t="str">
        <f>TRIM(Table1[[#This Row],[EmailRaw]])</f>
        <v>nikhil.mehta@company.com</v>
      </c>
      <c r="Z58" s="4">
        <f>LEN(Table1[[#This Row],[Trimed_mail]])</f>
        <v>24</v>
      </c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t="s">
        <v>296</v>
      </c>
      <c r="B59" t="s">
        <v>297</v>
      </c>
      <c r="C59" t="s">
        <v>185</v>
      </c>
      <c r="D59" t="s">
        <v>57</v>
      </c>
      <c r="E59" t="s">
        <v>113</v>
      </c>
      <c r="F59">
        <v>34171</v>
      </c>
      <c r="G59">
        <v>43</v>
      </c>
      <c r="H59">
        <v>2019</v>
      </c>
      <c r="I59" t="str">
        <f>IF(Table1[[#This Row],[JoiningYear]]&lt;2015,"senior","junior")</f>
        <v>junior</v>
      </c>
      <c r="J59">
        <v>2.2999999999999998</v>
      </c>
      <c r="K59" t="s">
        <v>298</v>
      </c>
      <c r="L59" t="s">
        <v>299</v>
      </c>
      <c r="M59" t="s">
        <v>300</v>
      </c>
      <c r="N59" t="str">
        <f>IF(Table1[[#This Row],[Salary]]&gt;70000,"high","low")</f>
        <v>low</v>
      </c>
      <c r="O59" t="str">
        <f>IF(Table1[[#This Row],[Rating]]&gt;=4,"Top performance","Average")</f>
        <v>Average</v>
      </c>
      <c r="P59" t="str">
        <f>IF(Table1[[#This Row],[JoiningYear]]&lt;2015,"Senior","Junior")</f>
        <v>Junior</v>
      </c>
      <c r="Q59" t="str">
        <f>_xlfn.CONCAT(Table1[[#This Row],[FirstName]]," ",Table1[[#This Row],[LastName]])</f>
        <v>Nitin Joshi</v>
      </c>
      <c r="R59" s="4" t="str">
        <f>_xlfn.CONCAT(LOWER(Table1[[#This Row],[FirstName]]),".",LOWER(Table1[[#This Row],[LastName]]),"@company.com")</f>
        <v>nitin.joshi@company.com</v>
      </c>
      <c r="S59" s="4" t="str">
        <f>_xlfn.CONCAT(Table1[[#This Row],[City]],"-",Table1[[#This Row],[Department]])</f>
        <v>Kolkata-Operations</v>
      </c>
      <c r="T59" s="4">
        <f>LEN(Table1[[#This Row],[EmailRaw]])</f>
        <v>27</v>
      </c>
      <c r="U59" s="4">
        <f>LEN(Table1[[#This Row],[Full_name]])</f>
        <v>11</v>
      </c>
      <c r="V59" s="4">
        <f>LEN(TRIM(Table1[[#This Row],[EmailRaw]]))</f>
        <v>23</v>
      </c>
      <c r="W59" s="4">
        <f>Table1[[#This Row],[Len_row_mail]]-Table1[[#This Row],[trim_len_row_mail]]</f>
        <v>4</v>
      </c>
      <c r="X59" s="4" t="str">
        <f>TRIM(Table1[[#This Row],[Full_name]])</f>
        <v>Nitin Joshi</v>
      </c>
      <c r="Y59" s="4" t="str">
        <f>TRIM(Table1[[#This Row],[EmailRaw]])</f>
        <v>nitin.joshi@company.com</v>
      </c>
      <c r="Z59" s="4">
        <f>LEN(Table1[[#This Row],[Trimed_mail]])</f>
        <v>23</v>
      </c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t="s">
        <v>301</v>
      </c>
      <c r="B60" t="s">
        <v>282</v>
      </c>
      <c r="C60" t="s">
        <v>63</v>
      </c>
      <c r="D60" t="s">
        <v>90</v>
      </c>
      <c r="E60" t="s">
        <v>113</v>
      </c>
      <c r="F60">
        <v>67753</v>
      </c>
      <c r="G60">
        <v>47</v>
      </c>
      <c r="H60">
        <v>2021</v>
      </c>
      <c r="I60" t="str">
        <f>IF(Table1[[#This Row],[JoiningYear]]&lt;2015,"senior","junior")</f>
        <v>junior</v>
      </c>
      <c r="J60">
        <v>2.2000000000000002</v>
      </c>
      <c r="K60" t="s">
        <v>302</v>
      </c>
      <c r="L60" t="s">
        <v>303</v>
      </c>
      <c r="M60" t="s">
        <v>93</v>
      </c>
      <c r="N60" t="str">
        <f>IF(Table1[[#This Row],[Salary]]&gt;70000,"high","low")</f>
        <v>low</v>
      </c>
      <c r="O60" t="str">
        <f>IF(Table1[[#This Row],[Rating]]&gt;=4,"Top performance","Average")</f>
        <v>Average</v>
      </c>
      <c r="P60" t="str">
        <f>IF(Table1[[#This Row],[JoiningYear]]&lt;2015,"Senior","Junior")</f>
        <v>Junior</v>
      </c>
      <c r="Q60" t="str">
        <f>_xlfn.CONCAT(Table1[[#This Row],[FirstName]]," ",Table1[[#This Row],[LastName]])</f>
        <v>Pooja Reddy</v>
      </c>
      <c r="R60" s="4" t="str">
        <f>_xlfn.CONCAT(LOWER(Table1[[#This Row],[FirstName]]),".",LOWER(Table1[[#This Row],[LastName]]),"@company.com")</f>
        <v>pooja.reddy@company.com</v>
      </c>
      <c r="S60" s="4" t="str">
        <f>_xlfn.CONCAT(Table1[[#This Row],[City]],"-",Table1[[#This Row],[Department]])</f>
        <v>Kolkata-Marketing</v>
      </c>
      <c r="T60" s="4">
        <f>LEN(Table1[[#This Row],[EmailRaw]])</f>
        <v>27</v>
      </c>
      <c r="U60" s="4">
        <f>LEN(Table1[[#This Row],[Full_name]])</f>
        <v>11</v>
      </c>
      <c r="V60" s="4">
        <f>LEN(TRIM(Table1[[#This Row],[EmailRaw]]))</f>
        <v>23</v>
      </c>
      <c r="W60" s="4">
        <f>Table1[[#This Row],[Len_row_mail]]-Table1[[#This Row],[trim_len_row_mail]]</f>
        <v>4</v>
      </c>
      <c r="X60" s="4" t="str">
        <f>TRIM(Table1[[#This Row],[Full_name]])</f>
        <v>Pooja Reddy</v>
      </c>
      <c r="Y60" s="4" t="str">
        <f>TRIM(Table1[[#This Row],[EmailRaw]])</f>
        <v>pooja.reddy@company.com</v>
      </c>
      <c r="Z60" s="4">
        <f>LEN(Table1[[#This Row],[Trimed_mail]])</f>
        <v>23</v>
      </c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t="s">
        <v>304</v>
      </c>
      <c r="B61" t="s">
        <v>106</v>
      </c>
      <c r="C61" t="s">
        <v>185</v>
      </c>
      <c r="D61" t="s">
        <v>96</v>
      </c>
      <c r="E61" t="s">
        <v>113</v>
      </c>
      <c r="F61">
        <v>113777</v>
      </c>
      <c r="G61">
        <v>33</v>
      </c>
      <c r="H61">
        <v>2019</v>
      </c>
      <c r="I61" t="str">
        <f>IF(Table1[[#This Row],[JoiningYear]]&lt;2015,"senior","junior")</f>
        <v>junior</v>
      </c>
      <c r="J61">
        <v>3.3</v>
      </c>
      <c r="K61" t="s">
        <v>305</v>
      </c>
      <c r="L61" t="s">
        <v>306</v>
      </c>
      <c r="M61" t="s">
        <v>215</v>
      </c>
      <c r="N61" t="str">
        <f>IF(Table1[[#This Row],[Salary]]&gt;70000,"high","low")</f>
        <v>high</v>
      </c>
      <c r="O61" t="str">
        <f>IF(Table1[[#This Row],[Rating]]&gt;=4,"Top performance","Average")</f>
        <v>Average</v>
      </c>
      <c r="P61" t="str">
        <f>IF(Table1[[#This Row],[JoiningYear]]&lt;2015,"Senior","Junior")</f>
        <v>Junior</v>
      </c>
      <c r="Q61" t="str">
        <f>_xlfn.CONCAT(Table1[[#This Row],[FirstName]]," ",Table1[[#This Row],[LastName]])</f>
        <v>Amit Joshi</v>
      </c>
      <c r="R61" s="4" t="str">
        <f>_xlfn.CONCAT(LOWER(Table1[[#This Row],[FirstName]]),".",LOWER(Table1[[#This Row],[LastName]]),"@company.com")</f>
        <v>amit.joshi@company.com</v>
      </c>
      <c r="S61" s="4" t="str">
        <f>_xlfn.CONCAT(Table1[[#This Row],[City]],"-",Table1[[#This Row],[Department]])</f>
        <v>Kolkata-Support</v>
      </c>
      <c r="T61" s="4">
        <f>LEN(Table1[[#This Row],[EmailRaw]])</f>
        <v>26</v>
      </c>
      <c r="U61" s="4">
        <f>LEN(Table1[[#This Row],[Full_name]])</f>
        <v>10</v>
      </c>
      <c r="V61" s="4">
        <f>LEN(TRIM(Table1[[#This Row],[EmailRaw]]))</f>
        <v>22</v>
      </c>
      <c r="W61" s="4">
        <f>Table1[[#This Row],[Len_row_mail]]-Table1[[#This Row],[trim_len_row_mail]]</f>
        <v>4</v>
      </c>
      <c r="X61" s="4" t="str">
        <f>TRIM(Table1[[#This Row],[Full_name]])</f>
        <v>Amit Joshi</v>
      </c>
      <c r="Y61" s="4" t="str">
        <f>TRIM(Table1[[#This Row],[EmailRaw]])</f>
        <v>amit.joshi@company.com</v>
      </c>
      <c r="Z61" s="4">
        <f>LEN(Table1[[#This Row],[Trimed_mail]])</f>
        <v>22</v>
      </c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t="s">
        <v>307</v>
      </c>
      <c r="B62" t="s">
        <v>198</v>
      </c>
      <c r="C62" t="s">
        <v>22</v>
      </c>
      <c r="D62" t="s">
        <v>15</v>
      </c>
      <c r="E62" t="s">
        <v>16</v>
      </c>
      <c r="F62">
        <v>62606</v>
      </c>
      <c r="G62">
        <v>35</v>
      </c>
      <c r="H62">
        <v>2016</v>
      </c>
      <c r="I62" t="str">
        <f>IF(Table1[[#This Row],[JoiningYear]]&lt;2015,"senior","junior")</f>
        <v>junior</v>
      </c>
      <c r="J62">
        <v>4.0999999999999996</v>
      </c>
      <c r="K62" t="s">
        <v>308</v>
      </c>
      <c r="L62" t="s">
        <v>309</v>
      </c>
      <c r="M62" t="s">
        <v>34</v>
      </c>
      <c r="N62" t="str">
        <f>IF(Table1[[#This Row],[Salary]]&gt;70000,"high","low")</f>
        <v>low</v>
      </c>
      <c r="O62" t="str">
        <f>IF(Table1[[#This Row],[Rating]]&gt;=4,"Top performance","Average")</f>
        <v>Top performance</v>
      </c>
      <c r="P62" t="str">
        <f>IF(Table1[[#This Row],[JoiningYear]]&lt;2015,"Senior","Junior")</f>
        <v>Junior</v>
      </c>
      <c r="Q62" t="str">
        <f>_xlfn.CONCAT(Table1[[#This Row],[FirstName]]," ",Table1[[#This Row],[LastName]])</f>
        <v>Ritu Agarwal</v>
      </c>
      <c r="R62" s="4" t="str">
        <f>_xlfn.CONCAT(LOWER(Table1[[#This Row],[FirstName]]),".",LOWER(Table1[[#This Row],[LastName]]),"@company.com")</f>
        <v>ritu.agarwal@company.com</v>
      </c>
      <c r="S62" s="4" t="str">
        <f>_xlfn.CONCAT(Table1[[#This Row],[City]],"-",Table1[[#This Row],[Department]])</f>
        <v>Chennai-Sales</v>
      </c>
      <c r="T62" s="4">
        <f>LEN(Table1[[#This Row],[EmailRaw]])</f>
        <v>28</v>
      </c>
      <c r="U62" s="4">
        <f>LEN(Table1[[#This Row],[Full_name]])</f>
        <v>12</v>
      </c>
      <c r="V62" s="4">
        <f>LEN(TRIM(Table1[[#This Row],[EmailRaw]]))</f>
        <v>24</v>
      </c>
      <c r="W62" s="4">
        <f>Table1[[#This Row],[Len_row_mail]]-Table1[[#This Row],[trim_len_row_mail]]</f>
        <v>4</v>
      </c>
      <c r="X62" s="4" t="str">
        <f>TRIM(Table1[[#This Row],[Full_name]])</f>
        <v>Ritu Agarwal</v>
      </c>
      <c r="Y62" s="4" t="str">
        <f>TRIM(Table1[[#This Row],[EmailRaw]])</f>
        <v>ritu.agarwal@company.com</v>
      </c>
      <c r="Z62" s="4">
        <f>LEN(Table1[[#This Row],[Trimed_mail]])</f>
        <v>24</v>
      </c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t="s">
        <v>310</v>
      </c>
      <c r="B63" t="s">
        <v>50</v>
      </c>
      <c r="C63" t="s">
        <v>44</v>
      </c>
      <c r="D63" t="s">
        <v>107</v>
      </c>
      <c r="E63" t="s">
        <v>51</v>
      </c>
      <c r="F63">
        <v>82954</v>
      </c>
      <c r="G63">
        <v>35</v>
      </c>
      <c r="H63">
        <v>2018</v>
      </c>
      <c r="I63" t="str">
        <f>IF(Table1[[#This Row],[JoiningYear]]&lt;2015,"senior","junior")</f>
        <v>junior</v>
      </c>
      <c r="J63">
        <v>2.9</v>
      </c>
      <c r="K63" t="s">
        <v>311</v>
      </c>
      <c r="L63" t="s">
        <v>312</v>
      </c>
      <c r="M63" t="s">
        <v>313</v>
      </c>
      <c r="N63" t="str">
        <f>IF(Table1[[#This Row],[Salary]]&gt;70000,"high","low")</f>
        <v>high</v>
      </c>
      <c r="O63" t="str">
        <f>IF(Table1[[#This Row],[Rating]]&gt;=4,"Top performance","Average")</f>
        <v>Average</v>
      </c>
      <c r="P63" t="str">
        <f>IF(Table1[[#This Row],[JoiningYear]]&lt;2015,"Senior","Junior")</f>
        <v>Junior</v>
      </c>
      <c r="Q63" t="str">
        <f>_xlfn.CONCAT(Table1[[#This Row],[FirstName]]," ",Table1[[#This Row],[LastName]])</f>
        <v>Mohit Iyer</v>
      </c>
      <c r="R63" s="4" t="str">
        <f>_xlfn.CONCAT(LOWER(Table1[[#This Row],[FirstName]]),".",LOWER(Table1[[#This Row],[LastName]]),"@company.com")</f>
        <v>mohit.iyer@company.com</v>
      </c>
      <c r="S63" s="4" t="str">
        <f>_xlfn.CONCAT(Table1[[#This Row],[City]],"-",Table1[[#This Row],[Department]])</f>
        <v>Jaipur-Legal</v>
      </c>
      <c r="T63" s="4">
        <f>LEN(Table1[[#This Row],[EmailRaw]])</f>
        <v>26</v>
      </c>
      <c r="U63" s="4">
        <f>LEN(Table1[[#This Row],[Full_name]])</f>
        <v>10</v>
      </c>
      <c r="V63" s="4">
        <f>LEN(TRIM(Table1[[#This Row],[EmailRaw]]))</f>
        <v>22</v>
      </c>
      <c r="W63" s="4">
        <f>Table1[[#This Row],[Len_row_mail]]-Table1[[#This Row],[trim_len_row_mail]]</f>
        <v>4</v>
      </c>
      <c r="X63" s="4" t="str">
        <f>TRIM(Table1[[#This Row],[Full_name]])</f>
        <v>Mohit Iyer</v>
      </c>
      <c r="Y63" s="4" t="str">
        <f>TRIM(Table1[[#This Row],[EmailRaw]])</f>
        <v>mohit.iyer@company.com</v>
      </c>
      <c r="Z63" s="4">
        <f>LEN(Table1[[#This Row],[Trimed_mail]])</f>
        <v>22</v>
      </c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t="s">
        <v>314</v>
      </c>
      <c r="B64" t="s">
        <v>265</v>
      </c>
      <c r="C64" t="s">
        <v>70</v>
      </c>
      <c r="D64" t="s">
        <v>23</v>
      </c>
      <c r="E64" t="s">
        <v>16</v>
      </c>
      <c r="F64">
        <v>92561</v>
      </c>
      <c r="G64">
        <v>43</v>
      </c>
      <c r="H64">
        <v>2011</v>
      </c>
      <c r="I64" t="str">
        <f>IF(Table1[[#This Row],[JoiningYear]]&lt;2015,"senior","junior")</f>
        <v>senior</v>
      </c>
      <c r="J64">
        <v>4.3</v>
      </c>
      <c r="K64" t="s">
        <v>315</v>
      </c>
      <c r="L64" t="s">
        <v>316</v>
      </c>
      <c r="M64" t="s">
        <v>121</v>
      </c>
      <c r="N64" t="str">
        <f>IF(Table1[[#This Row],[Salary]]&gt;70000,"high","low")</f>
        <v>high</v>
      </c>
      <c r="O64" t="str">
        <f>IF(Table1[[#This Row],[Rating]]&gt;=4,"Top performance","Average")</f>
        <v>Top performance</v>
      </c>
      <c r="P64" t="str">
        <f>IF(Table1[[#This Row],[JoiningYear]]&lt;2015,"Senior","Junior")</f>
        <v>Senior</v>
      </c>
      <c r="Q64" t="str">
        <f>_xlfn.CONCAT(Table1[[#This Row],[FirstName]]," ",Table1[[#This Row],[LastName]])</f>
        <v>Jyoti Kumar</v>
      </c>
      <c r="R64" s="4" t="str">
        <f>_xlfn.CONCAT(LOWER(Table1[[#This Row],[FirstName]]),".",LOWER(Table1[[#This Row],[LastName]]),"@company.com")</f>
        <v>jyoti.kumar@company.com</v>
      </c>
      <c r="S64" s="4" t="str">
        <f>_xlfn.CONCAT(Table1[[#This Row],[City]],"-",Table1[[#This Row],[Department]])</f>
        <v>Chennai-HR</v>
      </c>
      <c r="T64" s="4">
        <f>LEN(Table1[[#This Row],[EmailRaw]])</f>
        <v>27</v>
      </c>
      <c r="U64" s="4">
        <f>LEN(Table1[[#This Row],[Full_name]])</f>
        <v>11</v>
      </c>
      <c r="V64" s="4">
        <f>LEN(TRIM(Table1[[#This Row],[EmailRaw]]))</f>
        <v>23</v>
      </c>
      <c r="W64" s="4">
        <f>Table1[[#This Row],[Len_row_mail]]-Table1[[#This Row],[trim_len_row_mail]]</f>
        <v>4</v>
      </c>
      <c r="X64" s="4" t="str">
        <f>TRIM(Table1[[#This Row],[Full_name]])</f>
        <v>Jyoti Kumar</v>
      </c>
      <c r="Y64" s="4" t="str">
        <f>TRIM(Table1[[#This Row],[EmailRaw]])</f>
        <v>jyoti.kumar@company.com</v>
      </c>
      <c r="Z64" s="4">
        <f>LEN(Table1[[#This Row],[Trimed_mail]])</f>
        <v>23</v>
      </c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t="s">
        <v>317</v>
      </c>
      <c r="B65" t="s">
        <v>318</v>
      </c>
      <c r="C65" t="s">
        <v>139</v>
      </c>
      <c r="D65" t="s">
        <v>90</v>
      </c>
      <c r="E65" t="s">
        <v>64</v>
      </c>
      <c r="F65">
        <v>51100</v>
      </c>
      <c r="G65">
        <v>31</v>
      </c>
      <c r="H65">
        <v>2010</v>
      </c>
      <c r="I65" t="str">
        <f>IF(Table1[[#This Row],[JoiningYear]]&lt;2015,"senior","junior")</f>
        <v>senior</v>
      </c>
      <c r="J65">
        <v>1.2</v>
      </c>
      <c r="K65" t="s">
        <v>319</v>
      </c>
      <c r="L65" t="s">
        <v>320</v>
      </c>
      <c r="M65" t="s">
        <v>231</v>
      </c>
      <c r="N65" t="str">
        <f>IF(Table1[[#This Row],[Salary]]&gt;70000,"high","low")</f>
        <v>low</v>
      </c>
      <c r="O65" t="str">
        <f>IF(Table1[[#This Row],[Rating]]&gt;=4,"Top performance","Average")</f>
        <v>Average</v>
      </c>
      <c r="P65" t="str">
        <f>IF(Table1[[#This Row],[JoiningYear]]&lt;2015,"Senior","Junior")</f>
        <v>Senior</v>
      </c>
      <c r="Q65" t="str">
        <f>_xlfn.CONCAT(Table1[[#This Row],[FirstName]]," ",Table1[[#This Row],[LastName]])</f>
        <v>Siddharth Nair</v>
      </c>
      <c r="R65" s="4" t="str">
        <f>_xlfn.CONCAT(LOWER(Table1[[#This Row],[FirstName]]),".",LOWER(Table1[[#This Row],[LastName]]),"@company.com")</f>
        <v>siddharth.nair@company.com</v>
      </c>
      <c r="S65" s="4" t="str">
        <f>_xlfn.CONCAT(Table1[[#This Row],[City]],"-",Table1[[#This Row],[Department]])</f>
        <v>Hyderabad-Marketing</v>
      </c>
      <c r="T65" s="4">
        <f>LEN(Table1[[#This Row],[EmailRaw]])</f>
        <v>30</v>
      </c>
      <c r="U65" s="4">
        <f>LEN(Table1[[#This Row],[Full_name]])</f>
        <v>14</v>
      </c>
      <c r="V65" s="4">
        <f>LEN(TRIM(Table1[[#This Row],[EmailRaw]]))</f>
        <v>26</v>
      </c>
      <c r="W65" s="4">
        <f>Table1[[#This Row],[Len_row_mail]]-Table1[[#This Row],[trim_len_row_mail]]</f>
        <v>4</v>
      </c>
      <c r="X65" s="4" t="str">
        <f>TRIM(Table1[[#This Row],[Full_name]])</f>
        <v>Siddharth Nair</v>
      </c>
      <c r="Y65" s="4" t="str">
        <f>TRIM(Table1[[#This Row],[EmailRaw]])</f>
        <v>siddharth.nair@company.com</v>
      </c>
      <c r="Z65" s="4">
        <f>LEN(Table1[[#This Row],[Trimed_mail]])</f>
        <v>26</v>
      </c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t="s">
        <v>321</v>
      </c>
      <c r="B66" t="s">
        <v>173</v>
      </c>
      <c r="C66" t="s">
        <v>56</v>
      </c>
      <c r="D66" t="s">
        <v>23</v>
      </c>
      <c r="E66" t="s">
        <v>51</v>
      </c>
      <c r="F66">
        <v>79321</v>
      </c>
      <c r="G66">
        <v>58</v>
      </c>
      <c r="H66">
        <v>2013</v>
      </c>
      <c r="I66" t="str">
        <f>IF(Table1[[#This Row],[JoiningYear]]&lt;2015,"senior","junior")</f>
        <v>senior</v>
      </c>
      <c r="J66">
        <v>3.9</v>
      </c>
      <c r="K66" t="s">
        <v>322</v>
      </c>
      <c r="L66" t="s">
        <v>323</v>
      </c>
      <c r="M66" t="s">
        <v>324</v>
      </c>
      <c r="N66" t="str">
        <f>IF(Table1[[#This Row],[Salary]]&gt;70000,"high","low")</f>
        <v>high</v>
      </c>
      <c r="O66" t="str">
        <f>IF(Table1[[#This Row],[Rating]]&gt;=4,"Top performance","Average")</f>
        <v>Average</v>
      </c>
      <c r="P66" t="str">
        <f>IF(Table1[[#This Row],[JoiningYear]]&lt;2015,"Senior","Junior")</f>
        <v>Senior</v>
      </c>
      <c r="Q66" t="str">
        <f>_xlfn.CONCAT(Table1[[#This Row],[FirstName]]," ",Table1[[#This Row],[LastName]])</f>
        <v>Yash Sinha</v>
      </c>
      <c r="R66" s="4" t="str">
        <f>_xlfn.CONCAT(LOWER(Table1[[#This Row],[FirstName]]),".",LOWER(Table1[[#This Row],[LastName]]),"@company.com")</f>
        <v>yash.sinha@company.com</v>
      </c>
      <c r="S66" s="4" t="str">
        <f>_xlfn.CONCAT(Table1[[#This Row],[City]],"-",Table1[[#This Row],[Department]])</f>
        <v>Jaipur-HR</v>
      </c>
      <c r="T66" s="4">
        <f>LEN(Table1[[#This Row],[EmailRaw]])</f>
        <v>26</v>
      </c>
      <c r="U66" s="4">
        <f>LEN(Table1[[#This Row],[Full_name]])</f>
        <v>10</v>
      </c>
      <c r="V66" s="4">
        <f>LEN(TRIM(Table1[[#This Row],[EmailRaw]]))</f>
        <v>22</v>
      </c>
      <c r="W66" s="4">
        <f>Table1[[#This Row],[Len_row_mail]]-Table1[[#This Row],[trim_len_row_mail]]</f>
        <v>4</v>
      </c>
      <c r="X66" s="4" t="str">
        <f>TRIM(Table1[[#This Row],[Full_name]])</f>
        <v>Yash Sinha</v>
      </c>
      <c r="Y66" s="4" t="str">
        <f>TRIM(Table1[[#This Row],[EmailRaw]])</f>
        <v>yash.sinha@company.com</v>
      </c>
      <c r="Z66" s="4">
        <f>LEN(Table1[[#This Row],[Trimed_mail]])</f>
        <v>22</v>
      </c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t="s">
        <v>325</v>
      </c>
      <c r="B67" t="s">
        <v>270</v>
      </c>
      <c r="C67" t="s">
        <v>95</v>
      </c>
      <c r="D67" t="s">
        <v>96</v>
      </c>
      <c r="E67" t="s">
        <v>64</v>
      </c>
      <c r="F67">
        <v>44342</v>
      </c>
      <c r="G67">
        <v>22</v>
      </c>
      <c r="H67">
        <v>2022</v>
      </c>
      <c r="I67" t="str">
        <f>IF(Table1[[#This Row],[JoiningYear]]&lt;2015,"senior","junior")</f>
        <v>junior</v>
      </c>
      <c r="J67">
        <v>4.4000000000000004</v>
      </c>
      <c r="K67" t="s">
        <v>326</v>
      </c>
      <c r="L67" t="s">
        <v>327</v>
      </c>
      <c r="M67" t="s">
        <v>268</v>
      </c>
      <c r="N67" t="str">
        <f>IF(Table1[[#This Row],[Salary]]&gt;70000,"high","low")</f>
        <v>low</v>
      </c>
      <c r="O67" t="str">
        <f>IF(Table1[[#This Row],[Rating]]&gt;=4,"Top performance","Average")</f>
        <v>Top performance</v>
      </c>
      <c r="P67" t="str">
        <f>IF(Table1[[#This Row],[JoiningYear]]&lt;2015,"Senior","Junior")</f>
        <v>Junior</v>
      </c>
      <c r="Q67" t="str">
        <f>_xlfn.CONCAT(Table1[[#This Row],[FirstName]]," ",Table1[[#This Row],[LastName]])</f>
        <v>Vivek Rao</v>
      </c>
      <c r="R67" s="4" t="str">
        <f>_xlfn.CONCAT(LOWER(Table1[[#This Row],[FirstName]]),".",LOWER(Table1[[#This Row],[LastName]]),"@company.com")</f>
        <v>vivek.rao@company.com</v>
      </c>
      <c r="S67" s="4" t="str">
        <f>_xlfn.CONCAT(Table1[[#This Row],[City]],"-",Table1[[#This Row],[Department]])</f>
        <v>Hyderabad-Support</v>
      </c>
      <c r="T67" s="4">
        <f>LEN(Table1[[#This Row],[EmailRaw]])</f>
        <v>25</v>
      </c>
      <c r="U67" s="4">
        <f>LEN(Table1[[#This Row],[Full_name]])</f>
        <v>9</v>
      </c>
      <c r="V67" s="4">
        <f>LEN(TRIM(Table1[[#This Row],[EmailRaw]]))</f>
        <v>21</v>
      </c>
      <c r="W67" s="4">
        <f>Table1[[#This Row],[Len_row_mail]]-Table1[[#This Row],[trim_len_row_mail]]</f>
        <v>4</v>
      </c>
      <c r="X67" s="4" t="str">
        <f>TRIM(Table1[[#This Row],[Full_name]])</f>
        <v>Vivek Rao</v>
      </c>
      <c r="Y67" s="4" t="str">
        <f>TRIM(Table1[[#This Row],[EmailRaw]])</f>
        <v>vivek.rao@company.com</v>
      </c>
      <c r="Z67" s="4">
        <f>LEN(Table1[[#This Row],[Trimed_mail]])</f>
        <v>21</v>
      </c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t="s">
        <v>328</v>
      </c>
      <c r="B68" t="s">
        <v>329</v>
      </c>
      <c r="C68" t="s">
        <v>112</v>
      </c>
      <c r="D68" t="s">
        <v>83</v>
      </c>
      <c r="E68" t="s">
        <v>38</v>
      </c>
      <c r="F68">
        <v>116214</v>
      </c>
      <c r="G68">
        <v>55</v>
      </c>
      <c r="H68">
        <v>2017</v>
      </c>
      <c r="I68" t="str">
        <f>IF(Table1[[#This Row],[JoiningYear]]&lt;2015,"senior","junior")</f>
        <v>junior</v>
      </c>
      <c r="J68">
        <v>1.2</v>
      </c>
      <c r="K68" t="s">
        <v>330</v>
      </c>
      <c r="L68" t="s">
        <v>331</v>
      </c>
      <c r="M68" t="s">
        <v>332</v>
      </c>
      <c r="N68" t="str">
        <f>IF(Table1[[#This Row],[Salary]]&gt;70000,"high","low")</f>
        <v>high</v>
      </c>
      <c r="O68" t="str">
        <f>IF(Table1[[#This Row],[Rating]]&gt;=4,"Top performance","Average")</f>
        <v>Average</v>
      </c>
      <c r="P68" t="str">
        <f>IF(Table1[[#This Row],[JoiningYear]]&lt;2015,"Senior","Junior")</f>
        <v>Junior</v>
      </c>
      <c r="Q68" t="str">
        <f>_xlfn.CONCAT(Table1[[#This Row],[FirstName]]," ",Table1[[#This Row],[LastName]])</f>
        <v>Rohan Bose</v>
      </c>
      <c r="R68" s="4" t="str">
        <f>_xlfn.CONCAT(LOWER(Table1[[#This Row],[FirstName]]),".",LOWER(Table1[[#This Row],[LastName]]),"@company.com")</f>
        <v>rohan.bose@company.com</v>
      </c>
      <c r="S68" s="4" t="str">
        <f>_xlfn.CONCAT(Table1[[#This Row],[City]],"-",Table1[[#This Row],[Department]])</f>
        <v>Bangalore-IT</v>
      </c>
      <c r="T68" s="4">
        <f>LEN(Table1[[#This Row],[EmailRaw]])</f>
        <v>26</v>
      </c>
      <c r="U68" s="4">
        <f>LEN(Table1[[#This Row],[Full_name]])</f>
        <v>10</v>
      </c>
      <c r="V68" s="4">
        <f>LEN(TRIM(Table1[[#This Row],[EmailRaw]]))</f>
        <v>22</v>
      </c>
      <c r="W68" s="4">
        <f>Table1[[#This Row],[Len_row_mail]]-Table1[[#This Row],[trim_len_row_mail]]</f>
        <v>4</v>
      </c>
      <c r="X68" s="4" t="str">
        <f>TRIM(Table1[[#This Row],[Full_name]])</f>
        <v>Rohan Bose</v>
      </c>
      <c r="Y68" s="4" t="str">
        <f>TRIM(Table1[[#This Row],[EmailRaw]])</f>
        <v>rohan.bose@company.com</v>
      </c>
      <c r="Z68" s="4">
        <f>LEN(Table1[[#This Row],[Trimed_mail]])</f>
        <v>22</v>
      </c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t="s">
        <v>333</v>
      </c>
      <c r="B69" t="s">
        <v>184</v>
      </c>
      <c r="C69" t="s">
        <v>14</v>
      </c>
      <c r="D69" t="s">
        <v>107</v>
      </c>
      <c r="E69" t="s">
        <v>38</v>
      </c>
      <c r="F69">
        <v>85901</v>
      </c>
      <c r="G69">
        <v>55</v>
      </c>
      <c r="H69">
        <v>2018</v>
      </c>
      <c r="I69" t="str">
        <f>IF(Table1[[#This Row],[JoiningYear]]&lt;2015,"senior","junior")</f>
        <v>junior</v>
      </c>
      <c r="J69">
        <v>3.4</v>
      </c>
      <c r="K69" t="s">
        <v>334</v>
      </c>
      <c r="L69" t="s">
        <v>335</v>
      </c>
      <c r="M69" t="s">
        <v>313</v>
      </c>
      <c r="N69" t="str">
        <f>IF(Table1[[#This Row],[Salary]]&gt;70000,"high","low")</f>
        <v>high</v>
      </c>
      <c r="O69" t="str">
        <f>IF(Table1[[#This Row],[Rating]]&gt;=4,"Top performance","Average")</f>
        <v>Average</v>
      </c>
      <c r="P69" t="str">
        <f>IF(Table1[[#This Row],[JoiningYear]]&lt;2015,"Senior","Junior")</f>
        <v>Junior</v>
      </c>
      <c r="Q69" t="str">
        <f>_xlfn.CONCAT(Table1[[#This Row],[FirstName]]," ",Table1[[#This Row],[LastName]])</f>
        <v>Nisha Singh</v>
      </c>
      <c r="R69" s="4" t="str">
        <f>_xlfn.CONCAT(LOWER(Table1[[#This Row],[FirstName]]),".",LOWER(Table1[[#This Row],[LastName]]),"@company.com")</f>
        <v>nisha.singh@company.com</v>
      </c>
      <c r="S69" s="4" t="str">
        <f>_xlfn.CONCAT(Table1[[#This Row],[City]],"-",Table1[[#This Row],[Department]])</f>
        <v>Bangalore-Legal</v>
      </c>
      <c r="T69" s="4">
        <f>LEN(Table1[[#This Row],[EmailRaw]])</f>
        <v>27</v>
      </c>
      <c r="U69" s="4">
        <f>LEN(Table1[[#This Row],[Full_name]])</f>
        <v>11</v>
      </c>
      <c r="V69" s="4">
        <f>LEN(TRIM(Table1[[#This Row],[EmailRaw]]))</f>
        <v>23</v>
      </c>
      <c r="W69" s="4">
        <f>Table1[[#This Row],[Len_row_mail]]-Table1[[#This Row],[trim_len_row_mail]]</f>
        <v>4</v>
      </c>
      <c r="X69" s="4" t="str">
        <f>TRIM(Table1[[#This Row],[Full_name]])</f>
        <v>Nisha Singh</v>
      </c>
      <c r="Y69" s="4" t="str">
        <f>TRIM(Table1[[#This Row],[EmailRaw]])</f>
        <v>nisha.singh@company.com</v>
      </c>
      <c r="Z69" s="4">
        <f>LEN(Table1[[#This Row],[Trimed_mail]])</f>
        <v>23</v>
      </c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t="s">
        <v>336</v>
      </c>
      <c r="B70" t="s">
        <v>318</v>
      </c>
      <c r="C70" t="s">
        <v>124</v>
      </c>
      <c r="D70" t="s">
        <v>96</v>
      </c>
      <c r="E70" t="s">
        <v>31</v>
      </c>
      <c r="F70">
        <v>83446</v>
      </c>
      <c r="G70">
        <v>32</v>
      </c>
      <c r="H70">
        <v>2021</v>
      </c>
      <c r="I70" t="str">
        <f>IF(Table1[[#This Row],[JoiningYear]]&lt;2015,"senior","junior")</f>
        <v>junior</v>
      </c>
      <c r="J70">
        <v>4.4000000000000004</v>
      </c>
      <c r="K70" t="s">
        <v>337</v>
      </c>
      <c r="L70" t="s">
        <v>338</v>
      </c>
      <c r="M70" t="s">
        <v>151</v>
      </c>
      <c r="N70" t="str">
        <f>IF(Table1[[#This Row],[Salary]]&gt;70000,"high","low")</f>
        <v>high</v>
      </c>
      <c r="O70" t="str">
        <f>IF(Table1[[#This Row],[Rating]]&gt;=4,"Top performance","Average")</f>
        <v>Top performance</v>
      </c>
      <c r="P70" t="str">
        <f>IF(Table1[[#This Row],[JoiningYear]]&lt;2015,"Senior","Junior")</f>
        <v>Junior</v>
      </c>
      <c r="Q70" t="str">
        <f>_xlfn.CONCAT(Table1[[#This Row],[FirstName]]," ",Table1[[#This Row],[LastName]])</f>
        <v>Siddharth Das</v>
      </c>
      <c r="R70" s="4" t="str">
        <f>_xlfn.CONCAT(LOWER(Table1[[#This Row],[FirstName]]),".",LOWER(Table1[[#This Row],[LastName]]),"@company.com")</f>
        <v>siddharth.das@company.com</v>
      </c>
      <c r="S70" s="4" t="str">
        <f>_xlfn.CONCAT(Table1[[#This Row],[City]],"-",Table1[[#This Row],[Department]])</f>
        <v>Ahmedabad-Support</v>
      </c>
      <c r="T70" s="4">
        <f>LEN(Table1[[#This Row],[EmailRaw]])</f>
        <v>29</v>
      </c>
      <c r="U70" s="4">
        <f>LEN(Table1[[#This Row],[Full_name]])</f>
        <v>13</v>
      </c>
      <c r="V70" s="4">
        <f>LEN(TRIM(Table1[[#This Row],[EmailRaw]]))</f>
        <v>25</v>
      </c>
      <c r="W70" s="4">
        <f>Table1[[#This Row],[Len_row_mail]]-Table1[[#This Row],[trim_len_row_mail]]</f>
        <v>4</v>
      </c>
      <c r="X70" s="4" t="str">
        <f>TRIM(Table1[[#This Row],[Full_name]])</f>
        <v>Siddharth Das</v>
      </c>
      <c r="Y70" s="4" t="str">
        <f>TRIM(Table1[[#This Row],[EmailRaw]])</f>
        <v>siddharth.das@company.com</v>
      </c>
      <c r="Z70" s="4">
        <f>LEN(Table1[[#This Row],[Trimed_mail]])</f>
        <v>25</v>
      </c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t="s">
        <v>339</v>
      </c>
      <c r="B71" t="s">
        <v>340</v>
      </c>
      <c r="C71" t="s">
        <v>37</v>
      </c>
      <c r="D71" t="s">
        <v>83</v>
      </c>
      <c r="E71" t="s">
        <v>16</v>
      </c>
      <c r="F71">
        <v>93327</v>
      </c>
      <c r="G71">
        <v>53</v>
      </c>
      <c r="H71">
        <v>2020</v>
      </c>
      <c r="I71" t="str">
        <f>IF(Table1[[#This Row],[JoiningYear]]&lt;2015,"senior","junior")</f>
        <v>junior</v>
      </c>
      <c r="J71">
        <v>2</v>
      </c>
      <c r="K71" t="s">
        <v>341</v>
      </c>
      <c r="L71" t="s">
        <v>342</v>
      </c>
      <c r="M71" t="s">
        <v>222</v>
      </c>
      <c r="N71" t="str">
        <f>IF(Table1[[#This Row],[Salary]]&gt;70000,"high","low")</f>
        <v>high</v>
      </c>
      <c r="O71" t="str">
        <f>IF(Table1[[#This Row],[Rating]]&gt;=4,"Top performance","Average")</f>
        <v>Average</v>
      </c>
      <c r="P71" t="str">
        <f>IF(Table1[[#This Row],[JoiningYear]]&lt;2015,"Senior","Junior")</f>
        <v>Junior</v>
      </c>
      <c r="Q71" t="str">
        <f>_xlfn.CONCAT(Table1[[#This Row],[FirstName]]," ",Table1[[#This Row],[LastName]])</f>
        <v>Sanjay Mehta</v>
      </c>
      <c r="R71" s="4" t="str">
        <f>_xlfn.CONCAT(LOWER(Table1[[#This Row],[FirstName]]),".",LOWER(Table1[[#This Row],[LastName]]),"@company.com")</f>
        <v>sanjay.mehta@company.com</v>
      </c>
      <c r="S71" s="4" t="str">
        <f>_xlfn.CONCAT(Table1[[#This Row],[City]],"-",Table1[[#This Row],[Department]])</f>
        <v>Chennai-IT</v>
      </c>
      <c r="T71" s="4">
        <f>LEN(Table1[[#This Row],[EmailRaw]])</f>
        <v>28</v>
      </c>
      <c r="U71" s="4">
        <f>LEN(Table1[[#This Row],[Full_name]])</f>
        <v>12</v>
      </c>
      <c r="V71" s="4">
        <f>LEN(TRIM(Table1[[#This Row],[EmailRaw]]))</f>
        <v>24</v>
      </c>
      <c r="W71" s="4">
        <f>Table1[[#This Row],[Len_row_mail]]-Table1[[#This Row],[trim_len_row_mail]]</f>
        <v>4</v>
      </c>
      <c r="X71" s="4" t="str">
        <f>TRIM(Table1[[#This Row],[Full_name]])</f>
        <v>Sanjay Mehta</v>
      </c>
      <c r="Y71" s="4" t="str">
        <f>TRIM(Table1[[#This Row],[EmailRaw]])</f>
        <v>sanjay.mehta@company.com</v>
      </c>
      <c r="Z71" s="4">
        <f>LEN(Table1[[#This Row],[Trimed_mail]])</f>
        <v>24</v>
      </c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t="s">
        <v>343</v>
      </c>
      <c r="B72" t="s">
        <v>340</v>
      </c>
      <c r="C72" t="s">
        <v>77</v>
      </c>
      <c r="D72" t="s">
        <v>90</v>
      </c>
      <c r="E72" t="s">
        <v>64</v>
      </c>
      <c r="F72">
        <v>60614</v>
      </c>
      <c r="G72">
        <v>43</v>
      </c>
      <c r="H72">
        <v>2015</v>
      </c>
      <c r="I72" t="str">
        <f>IF(Table1[[#This Row],[JoiningYear]]&lt;2015,"senior","junior")</f>
        <v>junior</v>
      </c>
      <c r="J72">
        <v>4.5999999999999996</v>
      </c>
      <c r="K72" t="s">
        <v>344</v>
      </c>
      <c r="L72" t="s">
        <v>345</v>
      </c>
      <c r="M72" t="s">
        <v>104</v>
      </c>
      <c r="N72" t="str">
        <f>IF(Table1[[#This Row],[Salary]]&gt;70000,"high","low")</f>
        <v>low</v>
      </c>
      <c r="O72" t="str">
        <f>IF(Table1[[#This Row],[Rating]]&gt;=4,"Top performance","Average")</f>
        <v>Top performance</v>
      </c>
      <c r="P72" t="str">
        <f>IF(Table1[[#This Row],[JoiningYear]]&lt;2015,"Senior","Junior")</f>
        <v>Junior</v>
      </c>
      <c r="Q72" t="str">
        <f>_xlfn.CONCAT(Table1[[#This Row],[FirstName]]," ",Table1[[#This Row],[LastName]])</f>
        <v>Sanjay Gupta</v>
      </c>
      <c r="R72" s="4" t="str">
        <f>_xlfn.CONCAT(LOWER(Table1[[#This Row],[FirstName]]),".",LOWER(Table1[[#This Row],[LastName]]),"@company.com")</f>
        <v>sanjay.gupta@company.com</v>
      </c>
      <c r="S72" s="4" t="str">
        <f>_xlfn.CONCAT(Table1[[#This Row],[City]],"-",Table1[[#This Row],[Department]])</f>
        <v>Hyderabad-Marketing</v>
      </c>
      <c r="T72" s="4">
        <f>LEN(Table1[[#This Row],[EmailRaw]])</f>
        <v>28</v>
      </c>
      <c r="U72" s="4">
        <f>LEN(Table1[[#This Row],[Full_name]])</f>
        <v>12</v>
      </c>
      <c r="V72" s="4">
        <f>LEN(TRIM(Table1[[#This Row],[EmailRaw]]))</f>
        <v>24</v>
      </c>
      <c r="W72" s="4">
        <f>Table1[[#This Row],[Len_row_mail]]-Table1[[#This Row],[trim_len_row_mail]]</f>
        <v>4</v>
      </c>
      <c r="X72" s="4" t="str">
        <f>TRIM(Table1[[#This Row],[Full_name]])</f>
        <v>Sanjay Gupta</v>
      </c>
      <c r="Y72" s="4" t="str">
        <f>TRIM(Table1[[#This Row],[EmailRaw]])</f>
        <v>sanjay.gupta@company.com</v>
      </c>
      <c r="Z72" s="4">
        <f>LEN(Table1[[#This Row],[Trimed_mail]])</f>
        <v>24</v>
      </c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t="s">
        <v>346</v>
      </c>
      <c r="B73" t="s">
        <v>347</v>
      </c>
      <c r="C73" t="s">
        <v>348</v>
      </c>
      <c r="D73" t="s">
        <v>78</v>
      </c>
      <c r="E73" t="s">
        <v>64</v>
      </c>
      <c r="F73">
        <v>75205</v>
      </c>
      <c r="G73">
        <v>31</v>
      </c>
      <c r="H73">
        <v>2021</v>
      </c>
      <c r="I73" t="str">
        <f>IF(Table1[[#This Row],[JoiningYear]]&lt;2015,"senior","junior")</f>
        <v>junior</v>
      </c>
      <c r="J73">
        <v>1.9</v>
      </c>
      <c r="K73" t="s">
        <v>349</v>
      </c>
      <c r="L73" t="s">
        <v>350</v>
      </c>
      <c r="M73" t="s">
        <v>351</v>
      </c>
      <c r="N73" t="str">
        <f>IF(Table1[[#This Row],[Salary]]&gt;70000,"high","low")</f>
        <v>high</v>
      </c>
      <c r="O73" t="str">
        <f>IF(Table1[[#This Row],[Rating]]&gt;=4,"Top performance","Average")</f>
        <v>Average</v>
      </c>
      <c r="P73" t="str">
        <f>IF(Table1[[#This Row],[JoiningYear]]&lt;2015,"Senior","Junior")</f>
        <v>Junior</v>
      </c>
      <c r="Q73" t="str">
        <f>_xlfn.CONCAT(Table1[[#This Row],[FirstName]]," ",Table1[[#This Row],[LastName]])</f>
        <v>Anjali Patel</v>
      </c>
      <c r="R73" s="4" t="str">
        <f>_xlfn.CONCAT(LOWER(Table1[[#This Row],[FirstName]]),".",LOWER(Table1[[#This Row],[LastName]]),"@company.com")</f>
        <v>anjali.patel@company.com</v>
      </c>
      <c r="S73" s="4" t="str">
        <f>_xlfn.CONCAT(Table1[[#This Row],[City]],"-",Table1[[#This Row],[Department]])</f>
        <v>Hyderabad-Finance</v>
      </c>
      <c r="T73" s="4">
        <f>LEN(Table1[[#This Row],[EmailRaw]])</f>
        <v>28</v>
      </c>
      <c r="U73" s="4">
        <f>LEN(Table1[[#This Row],[Full_name]])</f>
        <v>12</v>
      </c>
      <c r="V73" s="4">
        <f>LEN(TRIM(Table1[[#This Row],[EmailRaw]]))</f>
        <v>24</v>
      </c>
      <c r="W73" s="4">
        <f>Table1[[#This Row],[Len_row_mail]]-Table1[[#This Row],[trim_len_row_mail]]</f>
        <v>4</v>
      </c>
      <c r="X73" s="4" t="str">
        <f>TRIM(Table1[[#This Row],[Full_name]])</f>
        <v>Anjali Patel</v>
      </c>
      <c r="Y73" s="4" t="str">
        <f>TRIM(Table1[[#This Row],[EmailRaw]])</f>
        <v>anjali.patel@company.com</v>
      </c>
      <c r="Z73" s="4">
        <f>LEN(Table1[[#This Row],[Trimed_mail]])</f>
        <v>24</v>
      </c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t="s">
        <v>352</v>
      </c>
      <c r="B74" t="s">
        <v>260</v>
      </c>
      <c r="C74" t="s">
        <v>112</v>
      </c>
      <c r="D74" t="s">
        <v>57</v>
      </c>
      <c r="E74" t="s">
        <v>31</v>
      </c>
      <c r="F74">
        <v>86069</v>
      </c>
      <c r="G74">
        <v>48</v>
      </c>
      <c r="H74">
        <v>2010</v>
      </c>
      <c r="I74" t="str">
        <f>IF(Table1[[#This Row],[JoiningYear]]&lt;2015,"senior","junior")</f>
        <v>senior</v>
      </c>
      <c r="J74">
        <v>1.8</v>
      </c>
      <c r="K74" t="s">
        <v>353</v>
      </c>
      <c r="L74" t="s">
        <v>354</v>
      </c>
      <c r="M74" t="s">
        <v>60</v>
      </c>
      <c r="N74" t="str">
        <f>IF(Table1[[#This Row],[Salary]]&gt;70000,"high","low")</f>
        <v>high</v>
      </c>
      <c r="O74" t="str">
        <f>IF(Table1[[#This Row],[Rating]]&gt;=4,"Top performance","Average")</f>
        <v>Average</v>
      </c>
      <c r="P74" t="str">
        <f>IF(Table1[[#This Row],[JoiningYear]]&lt;2015,"Senior","Junior")</f>
        <v>Senior</v>
      </c>
      <c r="Q74" t="str">
        <f>_xlfn.CONCAT(Table1[[#This Row],[FirstName]]," ",Table1[[#This Row],[LastName]])</f>
        <v>Manish Bose</v>
      </c>
      <c r="R74" s="4" t="str">
        <f>_xlfn.CONCAT(LOWER(Table1[[#This Row],[FirstName]]),".",LOWER(Table1[[#This Row],[LastName]]),"@company.com")</f>
        <v>manish.bose@company.com</v>
      </c>
      <c r="S74" s="4" t="str">
        <f>_xlfn.CONCAT(Table1[[#This Row],[City]],"-",Table1[[#This Row],[Department]])</f>
        <v>Ahmedabad-Operations</v>
      </c>
      <c r="T74" s="4">
        <f>LEN(Table1[[#This Row],[EmailRaw]])</f>
        <v>27</v>
      </c>
      <c r="U74" s="4">
        <f>LEN(Table1[[#This Row],[Full_name]])</f>
        <v>11</v>
      </c>
      <c r="V74" s="4">
        <f>LEN(TRIM(Table1[[#This Row],[EmailRaw]]))</f>
        <v>23</v>
      </c>
      <c r="W74" s="4">
        <f>Table1[[#This Row],[Len_row_mail]]-Table1[[#This Row],[trim_len_row_mail]]</f>
        <v>4</v>
      </c>
      <c r="X74" s="4" t="str">
        <f>TRIM(Table1[[#This Row],[Full_name]])</f>
        <v>Manish Bose</v>
      </c>
      <c r="Y74" s="4" t="str">
        <f>TRIM(Table1[[#This Row],[EmailRaw]])</f>
        <v>manish.bose@company.com</v>
      </c>
      <c r="Z74" s="4">
        <f>LEN(Table1[[#This Row],[Trimed_mail]])</f>
        <v>23</v>
      </c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t="s">
        <v>355</v>
      </c>
      <c r="B75" t="s">
        <v>260</v>
      </c>
      <c r="C75" t="s">
        <v>89</v>
      </c>
      <c r="D75" t="s">
        <v>15</v>
      </c>
      <c r="E75" t="s">
        <v>24</v>
      </c>
      <c r="F75">
        <v>74857</v>
      </c>
      <c r="G75">
        <v>52</v>
      </c>
      <c r="H75">
        <v>2010</v>
      </c>
      <c r="I75" t="str">
        <f>IF(Table1[[#This Row],[JoiningYear]]&lt;2015,"senior","junior")</f>
        <v>senior</v>
      </c>
      <c r="J75">
        <v>4.8</v>
      </c>
      <c r="K75" t="s">
        <v>356</v>
      </c>
      <c r="L75" t="s">
        <v>357</v>
      </c>
      <c r="M75" t="s">
        <v>358</v>
      </c>
      <c r="N75" t="str">
        <f>IF(Table1[[#This Row],[Salary]]&gt;70000,"high","low")</f>
        <v>high</v>
      </c>
      <c r="O75" t="str">
        <f>IF(Table1[[#This Row],[Rating]]&gt;=4,"Top performance","Average")</f>
        <v>Top performance</v>
      </c>
      <c r="P75" t="str">
        <f>IF(Table1[[#This Row],[JoiningYear]]&lt;2015,"Senior","Junior")</f>
        <v>Senior</v>
      </c>
      <c r="Q75" t="str">
        <f>_xlfn.CONCAT(Table1[[#This Row],[FirstName]]," ",Table1[[#This Row],[LastName]])</f>
        <v>Manish Mishra</v>
      </c>
      <c r="R75" s="4" t="str">
        <f>_xlfn.CONCAT(LOWER(Table1[[#This Row],[FirstName]]),".",LOWER(Table1[[#This Row],[LastName]]),"@company.com")</f>
        <v>manish.mishra@company.com</v>
      </c>
      <c r="S75" s="4" t="str">
        <f>_xlfn.CONCAT(Table1[[#This Row],[City]],"-",Table1[[#This Row],[Department]])</f>
        <v>Surat-Sales</v>
      </c>
      <c r="T75" s="4">
        <f>LEN(Table1[[#This Row],[EmailRaw]])</f>
        <v>29</v>
      </c>
      <c r="U75" s="4">
        <f>LEN(Table1[[#This Row],[Full_name]])</f>
        <v>13</v>
      </c>
      <c r="V75" s="4">
        <f>LEN(TRIM(Table1[[#This Row],[EmailRaw]]))</f>
        <v>25</v>
      </c>
      <c r="W75" s="4">
        <f>Table1[[#This Row],[Len_row_mail]]-Table1[[#This Row],[trim_len_row_mail]]</f>
        <v>4</v>
      </c>
      <c r="X75" s="4" t="str">
        <f>TRIM(Table1[[#This Row],[Full_name]])</f>
        <v>Manish Mishra</v>
      </c>
      <c r="Y75" s="4" t="str">
        <f>TRIM(Table1[[#This Row],[EmailRaw]])</f>
        <v>manish.mishra@company.com</v>
      </c>
      <c r="Z75" s="4">
        <f>LEN(Table1[[#This Row],[Trimed_mail]])</f>
        <v>25</v>
      </c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t="s">
        <v>359</v>
      </c>
      <c r="B76" t="s">
        <v>138</v>
      </c>
      <c r="C76" t="s">
        <v>89</v>
      </c>
      <c r="D76" t="s">
        <v>96</v>
      </c>
      <c r="E76" t="s">
        <v>31</v>
      </c>
      <c r="F76">
        <v>96582</v>
      </c>
      <c r="G76">
        <v>36</v>
      </c>
      <c r="H76">
        <v>2017</v>
      </c>
      <c r="I76" t="str">
        <f>IF(Table1[[#This Row],[JoiningYear]]&lt;2015,"senior","junior")</f>
        <v>junior</v>
      </c>
      <c r="J76">
        <v>1.9</v>
      </c>
      <c r="K76" t="s">
        <v>360</v>
      </c>
      <c r="L76" t="s">
        <v>361</v>
      </c>
      <c r="M76" t="s">
        <v>362</v>
      </c>
      <c r="N76" t="str">
        <f>IF(Table1[[#This Row],[Salary]]&gt;70000,"high","low")</f>
        <v>high</v>
      </c>
      <c r="O76" t="str">
        <f>IF(Table1[[#This Row],[Rating]]&gt;=4,"Top performance","Average")</f>
        <v>Average</v>
      </c>
      <c r="P76" t="str">
        <f>IF(Table1[[#This Row],[JoiningYear]]&lt;2015,"Senior","Junior")</f>
        <v>Junior</v>
      </c>
      <c r="Q76" t="str">
        <f>_xlfn.CONCAT(Table1[[#This Row],[FirstName]]," ",Table1[[#This Row],[LastName]])</f>
        <v>Lakshmi Mishra</v>
      </c>
      <c r="R76" s="4" t="str">
        <f>_xlfn.CONCAT(LOWER(Table1[[#This Row],[FirstName]]),".",LOWER(Table1[[#This Row],[LastName]]),"@company.com")</f>
        <v>lakshmi.mishra@company.com</v>
      </c>
      <c r="S76" s="4" t="str">
        <f>_xlfn.CONCAT(Table1[[#This Row],[City]],"-",Table1[[#This Row],[Department]])</f>
        <v>Ahmedabad-Support</v>
      </c>
      <c r="T76" s="4">
        <f>LEN(Table1[[#This Row],[EmailRaw]])</f>
        <v>30</v>
      </c>
      <c r="U76" s="4">
        <f>LEN(Table1[[#This Row],[Full_name]])</f>
        <v>14</v>
      </c>
      <c r="V76" s="4">
        <f>LEN(TRIM(Table1[[#This Row],[EmailRaw]]))</f>
        <v>26</v>
      </c>
      <c r="W76" s="4">
        <f>Table1[[#This Row],[Len_row_mail]]-Table1[[#This Row],[trim_len_row_mail]]</f>
        <v>4</v>
      </c>
      <c r="X76" s="4" t="str">
        <f>TRIM(Table1[[#This Row],[Full_name]])</f>
        <v>Lakshmi Mishra</v>
      </c>
      <c r="Y76" s="4" t="str">
        <f>TRIM(Table1[[#This Row],[EmailRaw]])</f>
        <v>lakshmi.mishra@company.com</v>
      </c>
      <c r="Z76" s="4">
        <f>LEN(Table1[[#This Row],[Trimed_mail]])</f>
        <v>26</v>
      </c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t="s">
        <v>363</v>
      </c>
      <c r="B77" t="s">
        <v>364</v>
      </c>
      <c r="C77" t="s">
        <v>95</v>
      </c>
      <c r="D77" t="s">
        <v>15</v>
      </c>
      <c r="E77" t="s">
        <v>113</v>
      </c>
      <c r="F77">
        <v>69057</v>
      </c>
      <c r="G77">
        <v>47</v>
      </c>
      <c r="H77">
        <v>2021</v>
      </c>
      <c r="I77" t="str">
        <f>IF(Table1[[#This Row],[JoiningYear]]&lt;2015,"senior","junior")</f>
        <v>junior</v>
      </c>
      <c r="J77">
        <v>1.7</v>
      </c>
      <c r="K77" t="s">
        <v>365</v>
      </c>
      <c r="L77" t="s">
        <v>366</v>
      </c>
      <c r="M77" t="s">
        <v>367</v>
      </c>
      <c r="N77" t="str">
        <f>IF(Table1[[#This Row],[Salary]]&gt;70000,"high","low")</f>
        <v>low</v>
      </c>
      <c r="O77" t="str">
        <f>IF(Table1[[#This Row],[Rating]]&gt;=4,"Top performance","Average")</f>
        <v>Average</v>
      </c>
      <c r="P77" t="str">
        <f>IF(Table1[[#This Row],[JoiningYear]]&lt;2015,"Senior","Junior")</f>
        <v>Junior</v>
      </c>
      <c r="Q77" t="str">
        <f>_xlfn.CONCAT(Table1[[#This Row],[FirstName]]," ",Table1[[#This Row],[LastName]])</f>
        <v>Geeta Rao</v>
      </c>
      <c r="R77" s="4" t="str">
        <f>_xlfn.CONCAT(LOWER(Table1[[#This Row],[FirstName]]),".",LOWER(Table1[[#This Row],[LastName]]),"@company.com")</f>
        <v>geeta.rao@company.com</v>
      </c>
      <c r="S77" s="4" t="str">
        <f>_xlfn.CONCAT(Table1[[#This Row],[City]],"-",Table1[[#This Row],[Department]])</f>
        <v>Kolkata-Sales</v>
      </c>
      <c r="T77" s="4">
        <f>LEN(Table1[[#This Row],[EmailRaw]])</f>
        <v>25</v>
      </c>
      <c r="U77" s="4">
        <f>LEN(Table1[[#This Row],[Full_name]])</f>
        <v>9</v>
      </c>
      <c r="V77" s="4">
        <f>LEN(TRIM(Table1[[#This Row],[EmailRaw]]))</f>
        <v>21</v>
      </c>
      <c r="W77" s="4">
        <f>Table1[[#This Row],[Len_row_mail]]-Table1[[#This Row],[trim_len_row_mail]]</f>
        <v>4</v>
      </c>
      <c r="X77" s="4" t="str">
        <f>TRIM(Table1[[#This Row],[Full_name]])</f>
        <v>Geeta Rao</v>
      </c>
      <c r="Y77" s="4" t="str">
        <f>TRIM(Table1[[#This Row],[EmailRaw]])</f>
        <v>geeta.rao@company.com</v>
      </c>
      <c r="Z77" s="4">
        <f>LEN(Table1[[#This Row],[Trimed_mail]])</f>
        <v>21</v>
      </c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t="s">
        <v>368</v>
      </c>
      <c r="B78" t="s">
        <v>178</v>
      </c>
      <c r="C78" t="s">
        <v>348</v>
      </c>
      <c r="D78" t="s">
        <v>15</v>
      </c>
      <c r="E78" t="s">
        <v>113</v>
      </c>
      <c r="F78">
        <v>102580</v>
      </c>
      <c r="G78">
        <v>58</v>
      </c>
      <c r="H78">
        <v>2020</v>
      </c>
      <c r="I78" t="str">
        <f>IF(Table1[[#This Row],[JoiningYear]]&lt;2015,"senior","junior")</f>
        <v>junior</v>
      </c>
      <c r="J78">
        <v>1.1000000000000001</v>
      </c>
      <c r="K78" t="s">
        <v>369</v>
      </c>
      <c r="L78" t="s">
        <v>370</v>
      </c>
      <c r="M78" t="s">
        <v>371</v>
      </c>
      <c r="N78" t="str">
        <f>IF(Table1[[#This Row],[Salary]]&gt;70000,"high","low")</f>
        <v>high</v>
      </c>
      <c r="O78" t="str">
        <f>IF(Table1[[#This Row],[Rating]]&gt;=4,"Top performance","Average")</f>
        <v>Average</v>
      </c>
      <c r="P78" t="str">
        <f>IF(Table1[[#This Row],[JoiningYear]]&lt;2015,"Senior","Junior")</f>
        <v>Junior</v>
      </c>
      <c r="Q78" t="str">
        <f>_xlfn.CONCAT(Table1[[#This Row],[FirstName]]," ",Table1[[#This Row],[LastName]])</f>
        <v>Deepa Patel</v>
      </c>
      <c r="R78" s="4" t="str">
        <f>_xlfn.CONCAT(LOWER(Table1[[#This Row],[FirstName]]),".",LOWER(Table1[[#This Row],[LastName]]),"@company.com")</f>
        <v>deepa.patel@company.com</v>
      </c>
      <c r="S78" s="4" t="str">
        <f>_xlfn.CONCAT(Table1[[#This Row],[City]],"-",Table1[[#This Row],[Department]])</f>
        <v>Kolkata-Sales</v>
      </c>
      <c r="T78" s="4">
        <f>LEN(Table1[[#This Row],[EmailRaw]])</f>
        <v>27</v>
      </c>
      <c r="U78" s="4">
        <f>LEN(Table1[[#This Row],[Full_name]])</f>
        <v>11</v>
      </c>
      <c r="V78" s="4">
        <f>LEN(TRIM(Table1[[#This Row],[EmailRaw]]))</f>
        <v>23</v>
      </c>
      <c r="W78" s="4">
        <f>Table1[[#This Row],[Len_row_mail]]-Table1[[#This Row],[trim_len_row_mail]]</f>
        <v>4</v>
      </c>
      <c r="X78" s="4" t="str">
        <f>TRIM(Table1[[#This Row],[Full_name]])</f>
        <v>Deepa Patel</v>
      </c>
      <c r="Y78" s="4" t="str">
        <f>TRIM(Table1[[#This Row],[EmailRaw]])</f>
        <v>deepa.patel@company.com</v>
      </c>
      <c r="Z78" s="4">
        <f>LEN(Table1[[#This Row],[Trimed_mail]])</f>
        <v>23</v>
      </c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t="s">
        <v>372</v>
      </c>
      <c r="B79" t="s">
        <v>76</v>
      </c>
      <c r="C79" t="s">
        <v>112</v>
      </c>
      <c r="D79" t="s">
        <v>78</v>
      </c>
      <c r="E79" t="s">
        <v>51</v>
      </c>
      <c r="F79">
        <v>48819</v>
      </c>
      <c r="G79">
        <v>25</v>
      </c>
      <c r="H79">
        <v>2014</v>
      </c>
      <c r="I79" t="str">
        <f>IF(Table1[[#This Row],[JoiningYear]]&lt;2015,"senior","junior")</f>
        <v>senior</v>
      </c>
      <c r="J79">
        <v>2.5</v>
      </c>
      <c r="K79" t="s">
        <v>373</v>
      </c>
      <c r="L79" t="s">
        <v>374</v>
      </c>
      <c r="M79" t="s">
        <v>201</v>
      </c>
      <c r="N79" t="str">
        <f>IF(Table1[[#This Row],[Salary]]&gt;70000,"high","low")</f>
        <v>low</v>
      </c>
      <c r="O79" t="str">
        <f>IF(Table1[[#This Row],[Rating]]&gt;=4,"Top performance","Average")</f>
        <v>Average</v>
      </c>
      <c r="P79" t="str">
        <f>IF(Table1[[#This Row],[JoiningYear]]&lt;2015,"Senior","Junior")</f>
        <v>Senior</v>
      </c>
      <c r="Q79" t="str">
        <f>_xlfn.CONCAT(Table1[[#This Row],[FirstName]]," ",Table1[[#This Row],[LastName]])</f>
        <v>Usha Bose</v>
      </c>
      <c r="R79" s="4" t="str">
        <f>_xlfn.CONCAT(LOWER(Table1[[#This Row],[FirstName]]),".",LOWER(Table1[[#This Row],[LastName]]),"@company.com")</f>
        <v>usha.bose@company.com</v>
      </c>
      <c r="S79" s="4" t="str">
        <f>_xlfn.CONCAT(Table1[[#This Row],[City]],"-",Table1[[#This Row],[Department]])</f>
        <v>Jaipur-Finance</v>
      </c>
      <c r="T79" s="4">
        <f>LEN(Table1[[#This Row],[EmailRaw]])</f>
        <v>25</v>
      </c>
      <c r="U79" s="4">
        <f>LEN(Table1[[#This Row],[Full_name]])</f>
        <v>9</v>
      </c>
      <c r="V79" s="4">
        <f>LEN(TRIM(Table1[[#This Row],[EmailRaw]]))</f>
        <v>21</v>
      </c>
      <c r="W79" s="4">
        <f>Table1[[#This Row],[Len_row_mail]]-Table1[[#This Row],[trim_len_row_mail]]</f>
        <v>4</v>
      </c>
      <c r="X79" s="4" t="str">
        <f>TRIM(Table1[[#This Row],[Full_name]])</f>
        <v>Usha Bose</v>
      </c>
      <c r="Y79" s="4" t="str">
        <f>TRIM(Table1[[#This Row],[EmailRaw]])</f>
        <v>usha.bose@company.com</v>
      </c>
      <c r="Z79" s="4">
        <f>LEN(Table1[[#This Row],[Trimed_mail]])</f>
        <v>21</v>
      </c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t="s">
        <v>375</v>
      </c>
      <c r="B80" t="s">
        <v>43</v>
      </c>
      <c r="C80" t="s">
        <v>124</v>
      </c>
      <c r="D80" t="s">
        <v>57</v>
      </c>
      <c r="E80" t="s">
        <v>71</v>
      </c>
      <c r="F80">
        <v>74692</v>
      </c>
      <c r="G80">
        <v>39</v>
      </c>
      <c r="H80">
        <v>2022</v>
      </c>
      <c r="I80" t="str">
        <f>IF(Table1[[#This Row],[JoiningYear]]&lt;2015,"senior","junior")</f>
        <v>junior</v>
      </c>
      <c r="J80">
        <v>4.8</v>
      </c>
      <c r="K80" t="s">
        <v>376</v>
      </c>
      <c r="L80" t="s">
        <v>377</v>
      </c>
      <c r="M80" t="s">
        <v>378</v>
      </c>
      <c r="N80" t="str">
        <f>IF(Table1[[#This Row],[Salary]]&gt;70000,"high","low")</f>
        <v>high</v>
      </c>
      <c r="O80" t="str">
        <f>IF(Table1[[#This Row],[Rating]]&gt;=4,"Top performance","Average")</f>
        <v>Top performance</v>
      </c>
      <c r="P80" t="str">
        <f>IF(Table1[[#This Row],[JoiningYear]]&lt;2015,"Senior","Junior")</f>
        <v>Junior</v>
      </c>
      <c r="Q80" t="str">
        <f>_xlfn.CONCAT(Table1[[#This Row],[FirstName]]," ",Table1[[#This Row],[LastName]])</f>
        <v>Divya Das</v>
      </c>
      <c r="R80" s="4" t="str">
        <f>_xlfn.CONCAT(LOWER(Table1[[#This Row],[FirstName]]),".",LOWER(Table1[[#This Row],[LastName]]),"@company.com")</f>
        <v>divya.das@company.com</v>
      </c>
      <c r="S80" s="4" t="str">
        <f>_xlfn.CONCAT(Table1[[#This Row],[City]],"-",Table1[[#This Row],[Department]])</f>
        <v>Pune-Operations</v>
      </c>
      <c r="T80" s="4">
        <f>LEN(Table1[[#This Row],[EmailRaw]])</f>
        <v>25</v>
      </c>
      <c r="U80" s="4">
        <f>LEN(Table1[[#This Row],[Full_name]])</f>
        <v>9</v>
      </c>
      <c r="V80" s="4">
        <f>LEN(TRIM(Table1[[#This Row],[EmailRaw]]))</f>
        <v>21</v>
      </c>
      <c r="W80" s="4">
        <f>Table1[[#This Row],[Len_row_mail]]-Table1[[#This Row],[trim_len_row_mail]]</f>
        <v>4</v>
      </c>
      <c r="X80" s="4" t="str">
        <f>TRIM(Table1[[#This Row],[Full_name]])</f>
        <v>Divya Das</v>
      </c>
      <c r="Y80" s="4" t="str">
        <f>TRIM(Table1[[#This Row],[EmailRaw]])</f>
        <v>divya.das@company.com</v>
      </c>
      <c r="Z80" s="4">
        <f>LEN(Table1[[#This Row],[Trimed_mail]])</f>
        <v>21</v>
      </c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t="s">
        <v>379</v>
      </c>
      <c r="B81" t="s">
        <v>260</v>
      </c>
      <c r="C81" t="s">
        <v>37</v>
      </c>
      <c r="D81" t="s">
        <v>23</v>
      </c>
      <c r="E81" t="s">
        <v>51</v>
      </c>
      <c r="F81">
        <v>27540</v>
      </c>
      <c r="G81">
        <v>56</v>
      </c>
      <c r="H81">
        <v>2010</v>
      </c>
      <c r="I81" t="str">
        <f>IF(Table1[[#This Row],[JoiningYear]]&lt;2015,"senior","junior")</f>
        <v>senior</v>
      </c>
      <c r="J81">
        <v>5</v>
      </c>
      <c r="K81" t="s">
        <v>380</v>
      </c>
      <c r="L81" t="s">
        <v>381</v>
      </c>
      <c r="M81" t="s">
        <v>27</v>
      </c>
      <c r="N81" t="str">
        <f>IF(Table1[[#This Row],[Salary]]&gt;70000,"high","low")</f>
        <v>low</v>
      </c>
      <c r="O81" t="str">
        <f>IF(Table1[[#This Row],[Rating]]&gt;=4,"Top performance","Average")</f>
        <v>Top performance</v>
      </c>
      <c r="P81" t="str">
        <f>IF(Table1[[#This Row],[JoiningYear]]&lt;2015,"Senior","Junior")</f>
        <v>Senior</v>
      </c>
      <c r="Q81" t="str">
        <f>_xlfn.CONCAT(Table1[[#This Row],[FirstName]]," ",Table1[[#This Row],[LastName]])</f>
        <v>Manish Mehta</v>
      </c>
      <c r="R81" s="4" t="str">
        <f>_xlfn.CONCAT(LOWER(Table1[[#This Row],[FirstName]]),".",LOWER(Table1[[#This Row],[LastName]]),"@company.com")</f>
        <v>manish.mehta@company.com</v>
      </c>
      <c r="S81" s="4" t="str">
        <f>_xlfn.CONCAT(Table1[[#This Row],[City]],"-",Table1[[#This Row],[Department]])</f>
        <v>Jaipur-HR</v>
      </c>
      <c r="T81" s="4">
        <f>LEN(Table1[[#This Row],[EmailRaw]])</f>
        <v>28</v>
      </c>
      <c r="U81" s="4">
        <f>LEN(Table1[[#This Row],[Full_name]])</f>
        <v>12</v>
      </c>
      <c r="V81" s="4">
        <f>LEN(TRIM(Table1[[#This Row],[EmailRaw]]))</f>
        <v>24</v>
      </c>
      <c r="W81" s="4">
        <f>Table1[[#This Row],[Len_row_mail]]-Table1[[#This Row],[trim_len_row_mail]]</f>
        <v>4</v>
      </c>
      <c r="X81" s="4" t="str">
        <f>TRIM(Table1[[#This Row],[Full_name]])</f>
        <v>Manish Mehta</v>
      </c>
      <c r="Y81" s="4" t="str">
        <f>TRIM(Table1[[#This Row],[EmailRaw]])</f>
        <v>manish.mehta@company.com</v>
      </c>
      <c r="Z81" s="4">
        <f>LEN(Table1[[#This Row],[Trimed_mail]])</f>
        <v>24</v>
      </c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t="s">
        <v>382</v>
      </c>
      <c r="B82" t="s">
        <v>287</v>
      </c>
      <c r="C82" t="s">
        <v>139</v>
      </c>
      <c r="D82" t="s">
        <v>23</v>
      </c>
      <c r="E82" t="s">
        <v>165</v>
      </c>
      <c r="F82">
        <v>29067</v>
      </c>
      <c r="G82">
        <v>37</v>
      </c>
      <c r="H82">
        <v>2013</v>
      </c>
      <c r="I82" t="str">
        <f>IF(Table1[[#This Row],[JoiningYear]]&lt;2015,"senior","junior")</f>
        <v>senior</v>
      </c>
      <c r="J82">
        <v>4.4000000000000004</v>
      </c>
      <c r="K82" t="s">
        <v>383</v>
      </c>
      <c r="L82" t="s">
        <v>384</v>
      </c>
      <c r="M82" t="s">
        <v>324</v>
      </c>
      <c r="N82" t="str">
        <f>IF(Table1[[#This Row],[Salary]]&gt;70000,"high","low")</f>
        <v>low</v>
      </c>
      <c r="O82" t="str">
        <f>IF(Table1[[#This Row],[Rating]]&gt;=4,"Top performance","Average")</f>
        <v>Top performance</v>
      </c>
      <c r="P82" t="str">
        <f>IF(Table1[[#This Row],[JoiningYear]]&lt;2015,"Senior","Junior")</f>
        <v>Senior</v>
      </c>
      <c r="Q82" t="str">
        <f>_xlfn.CONCAT(Table1[[#This Row],[FirstName]]," ",Table1[[#This Row],[LastName]])</f>
        <v>Anil Nair</v>
      </c>
      <c r="R82" s="4" t="str">
        <f>_xlfn.CONCAT(LOWER(Table1[[#This Row],[FirstName]]),".",LOWER(Table1[[#This Row],[LastName]]),"@company.com")</f>
        <v>anil.nair@company.com</v>
      </c>
      <c r="S82" s="4" t="str">
        <f>_xlfn.CONCAT(Table1[[#This Row],[City]],"-",Table1[[#This Row],[Department]])</f>
        <v>Mumbai-HR</v>
      </c>
      <c r="T82" s="4">
        <f>LEN(Table1[[#This Row],[EmailRaw]])</f>
        <v>25</v>
      </c>
      <c r="U82" s="4">
        <f>LEN(Table1[[#This Row],[Full_name]])</f>
        <v>9</v>
      </c>
      <c r="V82" s="4">
        <f>LEN(TRIM(Table1[[#This Row],[EmailRaw]]))</f>
        <v>21</v>
      </c>
      <c r="W82" s="4">
        <f>Table1[[#This Row],[Len_row_mail]]-Table1[[#This Row],[trim_len_row_mail]]</f>
        <v>4</v>
      </c>
      <c r="X82" s="4" t="str">
        <f>TRIM(Table1[[#This Row],[Full_name]])</f>
        <v>Anil Nair</v>
      </c>
      <c r="Y82" s="4" t="str">
        <f>TRIM(Table1[[#This Row],[EmailRaw]])</f>
        <v>anil.nair@company.com</v>
      </c>
      <c r="Z82" s="4">
        <f>LEN(Table1[[#This Row],[Trimed_mail]])</f>
        <v>21</v>
      </c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t="s">
        <v>385</v>
      </c>
      <c r="B83" t="s">
        <v>217</v>
      </c>
      <c r="C83" t="s">
        <v>348</v>
      </c>
      <c r="D83" t="s">
        <v>83</v>
      </c>
      <c r="E83" t="s">
        <v>38</v>
      </c>
      <c r="F83">
        <v>87070</v>
      </c>
      <c r="G83">
        <v>29</v>
      </c>
      <c r="H83">
        <v>2019</v>
      </c>
      <c r="I83" t="str">
        <f>IF(Table1[[#This Row],[JoiningYear]]&lt;2015,"senior","junior")</f>
        <v>junior</v>
      </c>
      <c r="J83">
        <v>4.8</v>
      </c>
      <c r="K83" t="s">
        <v>386</v>
      </c>
      <c r="L83" t="s">
        <v>387</v>
      </c>
      <c r="M83" t="s">
        <v>171</v>
      </c>
      <c r="N83" t="str">
        <f>IF(Table1[[#This Row],[Salary]]&gt;70000,"high","low")</f>
        <v>high</v>
      </c>
      <c r="O83" t="str">
        <f>IF(Table1[[#This Row],[Rating]]&gt;=4,"Top performance","Average")</f>
        <v>Top performance</v>
      </c>
      <c r="P83" t="str">
        <f>IF(Table1[[#This Row],[JoiningYear]]&lt;2015,"Senior","Junior")</f>
        <v>Junior</v>
      </c>
      <c r="Q83" t="str">
        <f>_xlfn.CONCAT(Table1[[#This Row],[FirstName]]," ",Table1[[#This Row],[LastName]])</f>
        <v>Pallavi Patel</v>
      </c>
      <c r="R83" s="4" t="str">
        <f>_xlfn.CONCAT(LOWER(Table1[[#This Row],[FirstName]]),".",LOWER(Table1[[#This Row],[LastName]]),"@company.com")</f>
        <v>pallavi.patel@company.com</v>
      </c>
      <c r="S83" s="4" t="str">
        <f>_xlfn.CONCAT(Table1[[#This Row],[City]],"-",Table1[[#This Row],[Department]])</f>
        <v>Bangalore-IT</v>
      </c>
      <c r="T83" s="4">
        <f>LEN(Table1[[#This Row],[EmailRaw]])</f>
        <v>29</v>
      </c>
      <c r="U83" s="4">
        <f>LEN(Table1[[#This Row],[Full_name]])</f>
        <v>13</v>
      </c>
      <c r="V83" s="4">
        <f>LEN(TRIM(Table1[[#This Row],[EmailRaw]]))</f>
        <v>25</v>
      </c>
      <c r="W83" s="4">
        <f>Table1[[#This Row],[Len_row_mail]]-Table1[[#This Row],[trim_len_row_mail]]</f>
        <v>4</v>
      </c>
      <c r="X83" s="4" t="str">
        <f>TRIM(Table1[[#This Row],[Full_name]])</f>
        <v>Pallavi Patel</v>
      </c>
      <c r="Y83" s="4" t="str">
        <f>TRIM(Table1[[#This Row],[EmailRaw]])</f>
        <v>pallavi.patel@company.com</v>
      </c>
      <c r="Z83" s="4">
        <f>LEN(Table1[[#This Row],[Trimed_mail]])</f>
        <v>25</v>
      </c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t="s">
        <v>388</v>
      </c>
      <c r="B84" t="s">
        <v>178</v>
      </c>
      <c r="C84" t="s">
        <v>37</v>
      </c>
      <c r="D84" t="s">
        <v>57</v>
      </c>
      <c r="E84" t="s">
        <v>38</v>
      </c>
      <c r="F84">
        <v>104415</v>
      </c>
      <c r="G84">
        <v>29</v>
      </c>
      <c r="H84">
        <v>2022</v>
      </c>
      <c r="I84" t="str">
        <f>IF(Table1[[#This Row],[JoiningYear]]&lt;2015,"senior","junior")</f>
        <v>junior</v>
      </c>
      <c r="J84">
        <v>4.3</v>
      </c>
      <c r="K84" t="s">
        <v>389</v>
      </c>
      <c r="L84" t="s">
        <v>390</v>
      </c>
      <c r="M84" t="s">
        <v>378</v>
      </c>
      <c r="N84" t="str">
        <f>IF(Table1[[#This Row],[Salary]]&gt;70000,"high","low")</f>
        <v>high</v>
      </c>
      <c r="O84" t="str">
        <f>IF(Table1[[#This Row],[Rating]]&gt;=4,"Top performance","Average")</f>
        <v>Top performance</v>
      </c>
      <c r="P84" t="str">
        <f>IF(Table1[[#This Row],[JoiningYear]]&lt;2015,"Senior","Junior")</f>
        <v>Junior</v>
      </c>
      <c r="Q84" t="str">
        <f>_xlfn.CONCAT(Table1[[#This Row],[FirstName]]," ",Table1[[#This Row],[LastName]])</f>
        <v>Deepa Mehta</v>
      </c>
      <c r="R84" s="4" t="str">
        <f>_xlfn.CONCAT(LOWER(Table1[[#This Row],[FirstName]]),".",LOWER(Table1[[#This Row],[LastName]]),"@company.com")</f>
        <v>deepa.mehta@company.com</v>
      </c>
      <c r="S84" s="4" t="str">
        <f>_xlfn.CONCAT(Table1[[#This Row],[City]],"-",Table1[[#This Row],[Department]])</f>
        <v>Bangalore-Operations</v>
      </c>
      <c r="T84" s="4">
        <f>LEN(Table1[[#This Row],[EmailRaw]])</f>
        <v>27</v>
      </c>
      <c r="U84" s="4">
        <f>LEN(Table1[[#This Row],[Full_name]])</f>
        <v>11</v>
      </c>
      <c r="V84" s="4">
        <f>LEN(TRIM(Table1[[#This Row],[EmailRaw]]))</f>
        <v>23</v>
      </c>
      <c r="W84" s="4">
        <f>Table1[[#This Row],[Len_row_mail]]-Table1[[#This Row],[trim_len_row_mail]]</f>
        <v>4</v>
      </c>
      <c r="X84" s="4" t="str">
        <f>TRIM(Table1[[#This Row],[Full_name]])</f>
        <v>Deepa Mehta</v>
      </c>
      <c r="Y84" s="4" t="str">
        <f>TRIM(Table1[[#This Row],[EmailRaw]])</f>
        <v>deepa.mehta@company.com</v>
      </c>
      <c r="Z84" s="4">
        <f>LEN(Table1[[#This Row],[Trimed_mail]])</f>
        <v>23</v>
      </c>
      <c r="AA84" s="4"/>
      <c r="AB84" s="4"/>
      <c r="AC84" s="4"/>
      <c r="AD84" s="4"/>
      <c r="AE84" s="4"/>
      <c r="AF84" s="4"/>
      <c r="AG84" s="4"/>
      <c r="AH84" s="4"/>
      <c r="AI84" s="4"/>
    </row>
    <row r="85" spans="1:35">
      <c r="A85" t="s">
        <v>391</v>
      </c>
      <c r="B85" t="s">
        <v>138</v>
      </c>
      <c r="C85" t="s">
        <v>14</v>
      </c>
      <c r="D85" t="s">
        <v>15</v>
      </c>
      <c r="E85" t="s">
        <v>16</v>
      </c>
      <c r="F85">
        <v>100470</v>
      </c>
      <c r="G85">
        <v>46</v>
      </c>
      <c r="H85">
        <v>2016</v>
      </c>
      <c r="I85" t="str">
        <f>IF(Table1[[#This Row],[JoiningYear]]&lt;2015,"senior","junior")</f>
        <v>junior</v>
      </c>
      <c r="J85">
        <v>4.8</v>
      </c>
      <c r="K85" t="s">
        <v>392</v>
      </c>
      <c r="L85" t="s">
        <v>393</v>
      </c>
      <c r="M85" t="s">
        <v>34</v>
      </c>
      <c r="N85" t="str">
        <f>IF(Table1[[#This Row],[Salary]]&gt;70000,"high","low")</f>
        <v>high</v>
      </c>
      <c r="O85" t="str">
        <f>IF(Table1[[#This Row],[Rating]]&gt;=4,"Top performance","Average")</f>
        <v>Top performance</v>
      </c>
      <c r="P85" t="str">
        <f>IF(Table1[[#This Row],[JoiningYear]]&lt;2015,"Senior","Junior")</f>
        <v>Junior</v>
      </c>
      <c r="Q85" t="str">
        <f>_xlfn.CONCAT(Table1[[#This Row],[FirstName]]," ",Table1[[#This Row],[LastName]])</f>
        <v>Lakshmi Singh</v>
      </c>
      <c r="R85" s="4" t="str">
        <f>_xlfn.CONCAT(LOWER(Table1[[#This Row],[FirstName]]),".",LOWER(Table1[[#This Row],[LastName]]),"@company.com")</f>
        <v>lakshmi.singh@company.com</v>
      </c>
      <c r="S85" s="4" t="str">
        <f>_xlfn.CONCAT(Table1[[#This Row],[City]],"-",Table1[[#This Row],[Department]])</f>
        <v>Chennai-Sales</v>
      </c>
      <c r="T85" s="4">
        <f>LEN(Table1[[#This Row],[EmailRaw]])</f>
        <v>29</v>
      </c>
      <c r="U85" s="4">
        <f>LEN(Table1[[#This Row],[Full_name]])</f>
        <v>13</v>
      </c>
      <c r="V85" s="4">
        <f>LEN(TRIM(Table1[[#This Row],[EmailRaw]]))</f>
        <v>25</v>
      </c>
      <c r="W85" s="4">
        <f>Table1[[#This Row],[Len_row_mail]]-Table1[[#This Row],[trim_len_row_mail]]</f>
        <v>4</v>
      </c>
      <c r="X85" s="4" t="str">
        <f>TRIM(Table1[[#This Row],[Full_name]])</f>
        <v>Lakshmi Singh</v>
      </c>
      <c r="Y85" s="4" t="str">
        <f>TRIM(Table1[[#This Row],[EmailRaw]])</f>
        <v>lakshmi.singh@company.com</v>
      </c>
      <c r="Z85" s="4">
        <f>LEN(Table1[[#This Row],[Trimed_mail]])</f>
        <v>25</v>
      </c>
      <c r="AA85" s="4"/>
      <c r="AB85" s="4"/>
      <c r="AC85" s="4"/>
      <c r="AD85" s="4"/>
      <c r="AE85" s="4"/>
      <c r="AF85" s="4"/>
      <c r="AG85" s="4"/>
      <c r="AH85" s="4"/>
      <c r="AI85" s="4"/>
    </row>
    <row r="86" spans="1:35">
      <c r="A86" t="s">
        <v>394</v>
      </c>
      <c r="B86" t="s">
        <v>292</v>
      </c>
      <c r="C86" t="s">
        <v>77</v>
      </c>
      <c r="D86" t="s">
        <v>83</v>
      </c>
      <c r="E86" t="s">
        <v>45</v>
      </c>
      <c r="F86">
        <v>116382</v>
      </c>
      <c r="G86">
        <v>41</v>
      </c>
      <c r="H86">
        <v>2023</v>
      </c>
      <c r="I86" t="str">
        <f>IF(Table1[[#This Row],[JoiningYear]]&lt;2015,"senior","junior")</f>
        <v>junior</v>
      </c>
      <c r="J86">
        <v>3.7</v>
      </c>
      <c r="K86" t="s">
        <v>395</v>
      </c>
      <c r="L86" t="s">
        <v>396</v>
      </c>
      <c r="M86" t="s">
        <v>86</v>
      </c>
      <c r="N86" t="str">
        <f>IF(Table1[[#This Row],[Salary]]&gt;70000,"high","low")</f>
        <v>high</v>
      </c>
      <c r="O86" t="str">
        <f>IF(Table1[[#This Row],[Rating]]&gt;=4,"Top performance","Average")</f>
        <v>Average</v>
      </c>
      <c r="P86" t="str">
        <f>IF(Table1[[#This Row],[JoiningYear]]&lt;2015,"Senior","Junior")</f>
        <v>Junior</v>
      </c>
      <c r="Q86" t="str">
        <f>_xlfn.CONCAT(Table1[[#This Row],[FirstName]]," ",Table1[[#This Row],[LastName]])</f>
        <v>Nikhil Gupta</v>
      </c>
      <c r="R86" s="4" t="str">
        <f>_xlfn.CONCAT(LOWER(Table1[[#This Row],[FirstName]]),".",LOWER(Table1[[#This Row],[LastName]]),"@company.com")</f>
        <v>nikhil.gupta@company.com</v>
      </c>
      <c r="S86" s="4" t="str">
        <f>_xlfn.CONCAT(Table1[[#This Row],[City]],"-",Table1[[#This Row],[Department]])</f>
        <v>Delhi-IT</v>
      </c>
      <c r="T86" s="4">
        <f>LEN(Table1[[#This Row],[EmailRaw]])</f>
        <v>28</v>
      </c>
      <c r="U86" s="4">
        <f>LEN(Table1[[#This Row],[Full_name]])</f>
        <v>12</v>
      </c>
      <c r="V86" s="4">
        <f>LEN(TRIM(Table1[[#This Row],[EmailRaw]]))</f>
        <v>24</v>
      </c>
      <c r="W86" s="4">
        <f>Table1[[#This Row],[Len_row_mail]]-Table1[[#This Row],[trim_len_row_mail]]</f>
        <v>4</v>
      </c>
      <c r="X86" s="4" t="str">
        <f>TRIM(Table1[[#This Row],[Full_name]])</f>
        <v>Nikhil Gupta</v>
      </c>
      <c r="Y86" s="4" t="str">
        <f>TRIM(Table1[[#This Row],[EmailRaw]])</f>
        <v>nikhil.gupta@company.com</v>
      </c>
      <c r="Z86" s="4">
        <f>LEN(Table1[[#This Row],[Trimed_mail]])</f>
        <v>24</v>
      </c>
      <c r="AA86" s="4"/>
      <c r="AB86" s="4"/>
      <c r="AC86" s="4"/>
      <c r="AD86" s="4"/>
      <c r="AE86" s="4"/>
      <c r="AF86" s="4"/>
      <c r="AG86" s="4"/>
      <c r="AH86" s="4"/>
      <c r="AI86" s="4"/>
    </row>
    <row r="87" spans="1:35">
      <c r="A87" t="s">
        <v>397</v>
      </c>
      <c r="B87" t="s">
        <v>282</v>
      </c>
      <c r="C87" t="s">
        <v>252</v>
      </c>
      <c r="D87" t="s">
        <v>15</v>
      </c>
      <c r="E87" t="s">
        <v>71</v>
      </c>
      <c r="F87">
        <v>94827</v>
      </c>
      <c r="G87">
        <v>49</v>
      </c>
      <c r="H87">
        <v>2020</v>
      </c>
      <c r="I87" t="str">
        <f>IF(Table1[[#This Row],[JoiningYear]]&lt;2015,"senior","junior")</f>
        <v>junior</v>
      </c>
      <c r="J87">
        <v>2.5</v>
      </c>
      <c r="K87" t="s">
        <v>398</v>
      </c>
      <c r="L87" t="s">
        <v>399</v>
      </c>
      <c r="M87" t="s">
        <v>371</v>
      </c>
      <c r="N87" t="str">
        <f>IF(Table1[[#This Row],[Salary]]&gt;70000,"high","low")</f>
        <v>high</v>
      </c>
      <c r="O87" t="str">
        <f>IF(Table1[[#This Row],[Rating]]&gt;=4,"Top performance","Average")</f>
        <v>Average</v>
      </c>
      <c r="P87" t="str">
        <f>IF(Table1[[#This Row],[JoiningYear]]&lt;2015,"Senior","Junior")</f>
        <v>Junior</v>
      </c>
      <c r="Q87" t="str">
        <f>_xlfn.CONCAT(Table1[[#This Row],[FirstName]]," ",Table1[[#This Row],[LastName]])</f>
        <v>Pooja Shah</v>
      </c>
      <c r="R87" s="4" t="str">
        <f>_xlfn.CONCAT(LOWER(Table1[[#This Row],[FirstName]]),".",LOWER(Table1[[#This Row],[LastName]]),"@company.com")</f>
        <v>pooja.shah@company.com</v>
      </c>
      <c r="S87" s="4" t="str">
        <f>_xlfn.CONCAT(Table1[[#This Row],[City]],"-",Table1[[#This Row],[Department]])</f>
        <v>Pune-Sales</v>
      </c>
      <c r="T87" s="4">
        <f>LEN(Table1[[#This Row],[EmailRaw]])</f>
        <v>26</v>
      </c>
      <c r="U87" s="4">
        <f>LEN(Table1[[#This Row],[Full_name]])</f>
        <v>10</v>
      </c>
      <c r="V87" s="4">
        <f>LEN(TRIM(Table1[[#This Row],[EmailRaw]]))</f>
        <v>22</v>
      </c>
      <c r="W87" s="4">
        <f>Table1[[#This Row],[Len_row_mail]]-Table1[[#This Row],[trim_len_row_mail]]</f>
        <v>4</v>
      </c>
      <c r="X87" s="4" t="str">
        <f>TRIM(Table1[[#This Row],[Full_name]])</f>
        <v>Pooja Shah</v>
      </c>
      <c r="Y87" s="4" t="str">
        <f>TRIM(Table1[[#This Row],[EmailRaw]])</f>
        <v>pooja.shah@company.com</v>
      </c>
      <c r="Z87" s="4">
        <f>LEN(Table1[[#This Row],[Trimed_mail]])</f>
        <v>22</v>
      </c>
      <c r="AA87" s="4"/>
      <c r="AB87" s="4"/>
      <c r="AC87" s="4"/>
      <c r="AD87" s="4"/>
      <c r="AE87" s="4"/>
      <c r="AF87" s="4"/>
      <c r="AG87" s="4"/>
      <c r="AH87" s="4"/>
      <c r="AI87" s="4"/>
    </row>
    <row r="88" spans="1:35">
      <c r="A88" t="s">
        <v>400</v>
      </c>
      <c r="B88" t="s">
        <v>401</v>
      </c>
      <c r="C88" t="s">
        <v>44</v>
      </c>
      <c r="D88" t="s">
        <v>15</v>
      </c>
      <c r="E88" t="s">
        <v>113</v>
      </c>
      <c r="F88">
        <v>89251</v>
      </c>
      <c r="G88">
        <v>28</v>
      </c>
      <c r="H88">
        <v>2016</v>
      </c>
      <c r="I88" t="str">
        <f>IF(Table1[[#This Row],[JoiningYear]]&lt;2015,"senior","junior")</f>
        <v>junior</v>
      </c>
      <c r="J88">
        <v>4.8</v>
      </c>
      <c r="K88" t="s">
        <v>402</v>
      </c>
      <c r="L88" t="s">
        <v>403</v>
      </c>
      <c r="M88" t="s">
        <v>34</v>
      </c>
      <c r="N88" t="str">
        <f>IF(Table1[[#This Row],[Salary]]&gt;70000,"high","low")</f>
        <v>high</v>
      </c>
      <c r="O88" t="str">
        <f>IF(Table1[[#This Row],[Rating]]&gt;=4,"Top performance","Average")</f>
        <v>Top performance</v>
      </c>
      <c r="P88" t="str">
        <f>IF(Table1[[#This Row],[JoiningYear]]&lt;2015,"Senior","Junior")</f>
        <v>Junior</v>
      </c>
      <c r="Q88" t="str">
        <f>_xlfn.CONCAT(Table1[[#This Row],[FirstName]]," ",Table1[[#This Row],[LastName]])</f>
        <v>Akash Iyer</v>
      </c>
      <c r="R88" s="4" t="str">
        <f>_xlfn.CONCAT(LOWER(Table1[[#This Row],[FirstName]]),".",LOWER(Table1[[#This Row],[LastName]]),"@company.com")</f>
        <v>akash.iyer@company.com</v>
      </c>
      <c r="S88" s="4" t="str">
        <f>_xlfn.CONCAT(Table1[[#This Row],[City]],"-",Table1[[#This Row],[Department]])</f>
        <v>Kolkata-Sales</v>
      </c>
      <c r="T88" s="4">
        <f>LEN(Table1[[#This Row],[EmailRaw]])</f>
        <v>26</v>
      </c>
      <c r="U88" s="4">
        <f>LEN(Table1[[#This Row],[Full_name]])</f>
        <v>10</v>
      </c>
      <c r="V88" s="4">
        <f>LEN(TRIM(Table1[[#This Row],[EmailRaw]]))</f>
        <v>22</v>
      </c>
      <c r="W88" s="4">
        <f>Table1[[#This Row],[Len_row_mail]]-Table1[[#This Row],[trim_len_row_mail]]</f>
        <v>4</v>
      </c>
      <c r="X88" s="4" t="str">
        <f>TRIM(Table1[[#This Row],[Full_name]])</f>
        <v>Akash Iyer</v>
      </c>
      <c r="Y88" s="4" t="str">
        <f>TRIM(Table1[[#This Row],[EmailRaw]])</f>
        <v>akash.iyer@company.com</v>
      </c>
      <c r="Z88" s="4">
        <f>LEN(Table1[[#This Row],[Trimed_mail]])</f>
        <v>22</v>
      </c>
      <c r="AA88" s="4"/>
      <c r="AB88" s="4"/>
      <c r="AC88" s="4"/>
      <c r="AD88" s="4"/>
      <c r="AE88" s="4"/>
      <c r="AF88" s="4"/>
      <c r="AG88" s="4"/>
      <c r="AH88" s="4"/>
      <c r="AI88" s="4"/>
    </row>
    <row r="89" spans="1:35">
      <c r="A89" t="s">
        <v>404</v>
      </c>
      <c r="B89" t="s">
        <v>13</v>
      </c>
      <c r="C89" t="s">
        <v>124</v>
      </c>
      <c r="D89" t="s">
        <v>78</v>
      </c>
      <c r="E89" t="s">
        <v>113</v>
      </c>
      <c r="F89">
        <v>48086</v>
      </c>
      <c r="G89">
        <v>55</v>
      </c>
      <c r="H89">
        <v>2020</v>
      </c>
      <c r="I89" t="str">
        <f>IF(Table1[[#This Row],[JoiningYear]]&lt;2015,"senior","junior")</f>
        <v>junior</v>
      </c>
      <c r="J89">
        <v>2.1</v>
      </c>
      <c r="K89" t="s">
        <v>405</v>
      </c>
      <c r="L89" t="s">
        <v>406</v>
      </c>
      <c r="M89" t="s">
        <v>407</v>
      </c>
      <c r="N89" t="str">
        <f>IF(Table1[[#This Row],[Salary]]&gt;70000,"high","low")</f>
        <v>low</v>
      </c>
      <c r="O89" t="str">
        <f>IF(Table1[[#This Row],[Rating]]&gt;=4,"Top performance","Average")</f>
        <v>Average</v>
      </c>
      <c r="P89" t="str">
        <f>IF(Table1[[#This Row],[JoiningYear]]&lt;2015,"Senior","Junior")</f>
        <v>Junior</v>
      </c>
      <c r="Q89" t="str">
        <f>_xlfn.CONCAT(Table1[[#This Row],[FirstName]]," ",Table1[[#This Row],[LastName]])</f>
        <v>Gaurav Das</v>
      </c>
      <c r="R89" s="4" t="str">
        <f>_xlfn.CONCAT(LOWER(Table1[[#This Row],[FirstName]]),".",LOWER(Table1[[#This Row],[LastName]]),"@company.com")</f>
        <v>gaurav.das@company.com</v>
      </c>
      <c r="S89" s="4" t="str">
        <f>_xlfn.CONCAT(Table1[[#This Row],[City]],"-",Table1[[#This Row],[Department]])</f>
        <v>Kolkata-Finance</v>
      </c>
      <c r="T89" s="4">
        <f>LEN(Table1[[#This Row],[EmailRaw]])</f>
        <v>26</v>
      </c>
      <c r="U89" s="4">
        <f>LEN(Table1[[#This Row],[Full_name]])</f>
        <v>10</v>
      </c>
      <c r="V89" s="4">
        <f>LEN(TRIM(Table1[[#This Row],[EmailRaw]]))</f>
        <v>22</v>
      </c>
      <c r="W89" s="4">
        <f>Table1[[#This Row],[Len_row_mail]]-Table1[[#This Row],[trim_len_row_mail]]</f>
        <v>4</v>
      </c>
      <c r="X89" s="4" t="str">
        <f>TRIM(Table1[[#This Row],[Full_name]])</f>
        <v>Gaurav Das</v>
      </c>
      <c r="Y89" s="4" t="str">
        <f>TRIM(Table1[[#This Row],[EmailRaw]])</f>
        <v>gaurav.das@company.com</v>
      </c>
      <c r="Z89" s="4">
        <f>LEN(Table1[[#This Row],[Trimed_mail]])</f>
        <v>22</v>
      </c>
      <c r="AA89" s="4"/>
      <c r="AB89" s="4"/>
      <c r="AC89" s="4"/>
      <c r="AD89" s="4"/>
      <c r="AE89" s="4"/>
      <c r="AF89" s="4"/>
      <c r="AG89" s="4"/>
      <c r="AH89" s="4"/>
      <c r="AI89" s="4"/>
    </row>
    <row r="90" spans="1:35">
      <c r="A90" t="s">
        <v>408</v>
      </c>
      <c r="B90" t="s">
        <v>193</v>
      </c>
      <c r="C90" t="s">
        <v>95</v>
      </c>
      <c r="D90" t="s">
        <v>107</v>
      </c>
      <c r="E90" t="s">
        <v>113</v>
      </c>
      <c r="F90">
        <v>102656</v>
      </c>
      <c r="G90">
        <v>39</v>
      </c>
      <c r="H90">
        <v>2015</v>
      </c>
      <c r="I90" t="str">
        <f>IF(Table1[[#This Row],[JoiningYear]]&lt;2015,"senior","junior")</f>
        <v>junior</v>
      </c>
      <c r="J90">
        <v>4.4000000000000004</v>
      </c>
      <c r="K90" t="s">
        <v>409</v>
      </c>
      <c r="L90" t="s">
        <v>410</v>
      </c>
      <c r="M90" t="s">
        <v>273</v>
      </c>
      <c r="N90" t="str">
        <f>IF(Table1[[#This Row],[Salary]]&gt;70000,"high","low")</f>
        <v>high</v>
      </c>
      <c r="O90" t="str">
        <f>IF(Table1[[#This Row],[Rating]]&gt;=4,"Top performance","Average")</f>
        <v>Top performance</v>
      </c>
      <c r="P90" t="str">
        <f>IF(Table1[[#This Row],[JoiningYear]]&lt;2015,"Senior","Junior")</f>
        <v>Junior</v>
      </c>
      <c r="Q90" t="str">
        <f>_xlfn.CONCAT(Table1[[#This Row],[FirstName]]," ",Table1[[#This Row],[LastName]])</f>
        <v>Harsh Rao</v>
      </c>
      <c r="R90" s="4" t="str">
        <f>_xlfn.CONCAT(LOWER(Table1[[#This Row],[FirstName]]),".",LOWER(Table1[[#This Row],[LastName]]),"@company.com")</f>
        <v>harsh.rao@company.com</v>
      </c>
      <c r="S90" s="4" t="str">
        <f>_xlfn.CONCAT(Table1[[#This Row],[City]],"-",Table1[[#This Row],[Department]])</f>
        <v>Kolkata-Legal</v>
      </c>
      <c r="T90" s="4">
        <f>LEN(Table1[[#This Row],[EmailRaw]])</f>
        <v>25</v>
      </c>
      <c r="U90" s="4">
        <f>LEN(Table1[[#This Row],[Full_name]])</f>
        <v>9</v>
      </c>
      <c r="V90" s="4">
        <f>LEN(TRIM(Table1[[#This Row],[EmailRaw]]))</f>
        <v>21</v>
      </c>
      <c r="W90" s="4">
        <f>Table1[[#This Row],[Len_row_mail]]-Table1[[#This Row],[trim_len_row_mail]]</f>
        <v>4</v>
      </c>
      <c r="X90" s="4" t="str">
        <f>TRIM(Table1[[#This Row],[Full_name]])</f>
        <v>Harsh Rao</v>
      </c>
      <c r="Y90" s="4" t="str">
        <f>TRIM(Table1[[#This Row],[EmailRaw]])</f>
        <v>harsh.rao@company.com</v>
      </c>
      <c r="Z90" s="4">
        <f>LEN(Table1[[#This Row],[Trimed_mail]])</f>
        <v>21</v>
      </c>
      <c r="AA90" s="4"/>
      <c r="AB90" s="4"/>
      <c r="AC90" s="4"/>
      <c r="AD90" s="4"/>
      <c r="AE90" s="4"/>
      <c r="AF90" s="4"/>
      <c r="AG90" s="4"/>
      <c r="AH90" s="4"/>
      <c r="AI90" s="4"/>
    </row>
    <row r="91" spans="1:35">
      <c r="A91" t="s">
        <v>411</v>
      </c>
      <c r="B91" t="s">
        <v>347</v>
      </c>
      <c r="C91" t="s">
        <v>37</v>
      </c>
      <c r="D91" t="s">
        <v>107</v>
      </c>
      <c r="E91" t="s">
        <v>64</v>
      </c>
      <c r="F91">
        <v>85910</v>
      </c>
      <c r="G91">
        <v>58</v>
      </c>
      <c r="H91">
        <v>2019</v>
      </c>
      <c r="I91" t="str">
        <f>IF(Table1[[#This Row],[JoiningYear]]&lt;2015,"senior","junior")</f>
        <v>junior</v>
      </c>
      <c r="J91">
        <v>3.7</v>
      </c>
      <c r="K91" t="s">
        <v>412</v>
      </c>
      <c r="L91" t="s">
        <v>413</v>
      </c>
      <c r="M91" t="s">
        <v>414</v>
      </c>
      <c r="N91" t="str">
        <f>IF(Table1[[#This Row],[Salary]]&gt;70000,"high","low")</f>
        <v>high</v>
      </c>
      <c r="O91" t="str">
        <f>IF(Table1[[#This Row],[Rating]]&gt;=4,"Top performance","Average")</f>
        <v>Average</v>
      </c>
      <c r="P91" t="str">
        <f>IF(Table1[[#This Row],[JoiningYear]]&lt;2015,"Senior","Junior")</f>
        <v>Junior</v>
      </c>
      <c r="Q91" t="str">
        <f>_xlfn.CONCAT(Table1[[#This Row],[FirstName]]," ",Table1[[#This Row],[LastName]])</f>
        <v>Anjali Mehta</v>
      </c>
      <c r="R91" s="4" t="str">
        <f>_xlfn.CONCAT(LOWER(Table1[[#This Row],[FirstName]]),".",LOWER(Table1[[#This Row],[LastName]]),"@company.com")</f>
        <v>anjali.mehta@company.com</v>
      </c>
      <c r="S91" s="4" t="str">
        <f>_xlfn.CONCAT(Table1[[#This Row],[City]],"-",Table1[[#This Row],[Department]])</f>
        <v>Hyderabad-Legal</v>
      </c>
      <c r="T91" s="4">
        <f>LEN(Table1[[#This Row],[EmailRaw]])</f>
        <v>28</v>
      </c>
      <c r="U91" s="4">
        <f>LEN(Table1[[#This Row],[Full_name]])</f>
        <v>12</v>
      </c>
      <c r="V91" s="4">
        <f>LEN(TRIM(Table1[[#This Row],[EmailRaw]]))</f>
        <v>24</v>
      </c>
      <c r="W91" s="4">
        <f>Table1[[#This Row],[Len_row_mail]]-Table1[[#This Row],[trim_len_row_mail]]</f>
        <v>4</v>
      </c>
      <c r="X91" s="4" t="str">
        <f>TRIM(Table1[[#This Row],[Full_name]])</f>
        <v>Anjali Mehta</v>
      </c>
      <c r="Y91" s="4" t="str">
        <f>TRIM(Table1[[#This Row],[EmailRaw]])</f>
        <v>anjali.mehta@company.com</v>
      </c>
      <c r="Z91" s="4">
        <f>LEN(Table1[[#This Row],[Trimed_mail]])</f>
        <v>24</v>
      </c>
      <c r="AA91" s="4"/>
      <c r="AB91" s="4"/>
      <c r="AC91" s="4"/>
      <c r="AD91" s="4"/>
      <c r="AE91" s="4"/>
      <c r="AF91" s="4"/>
      <c r="AG91" s="4"/>
      <c r="AH91" s="4"/>
      <c r="AI91" s="4"/>
    </row>
    <row r="92" spans="1:35">
      <c r="A92" t="s">
        <v>415</v>
      </c>
      <c r="B92" t="s">
        <v>159</v>
      </c>
      <c r="C92" t="s">
        <v>118</v>
      </c>
      <c r="D92" t="s">
        <v>107</v>
      </c>
      <c r="E92" t="s">
        <v>71</v>
      </c>
      <c r="F92">
        <v>48834</v>
      </c>
      <c r="G92">
        <v>53</v>
      </c>
      <c r="H92">
        <v>2013</v>
      </c>
      <c r="I92" t="str">
        <f>IF(Table1[[#This Row],[JoiningYear]]&lt;2015,"senior","junior")</f>
        <v>senior</v>
      </c>
      <c r="J92">
        <v>2.4</v>
      </c>
      <c r="K92" t="s">
        <v>160</v>
      </c>
      <c r="L92" t="s">
        <v>161</v>
      </c>
      <c r="M92" t="s">
        <v>157</v>
      </c>
      <c r="N92" t="str">
        <f>IF(Table1[[#This Row],[Salary]]&gt;70000,"high","low")</f>
        <v>low</v>
      </c>
      <c r="O92" t="str">
        <f>IF(Table1[[#This Row],[Rating]]&gt;=4,"Top performance","Average")</f>
        <v>Average</v>
      </c>
      <c r="P92" t="str">
        <f>IF(Table1[[#This Row],[JoiningYear]]&lt;2015,"Senior","Junior")</f>
        <v>Senior</v>
      </c>
      <c r="Q92" t="str">
        <f>_xlfn.CONCAT(Table1[[#This Row],[FirstName]]," ",Table1[[#This Row],[LastName]])</f>
        <v>Sana Sharma</v>
      </c>
      <c r="R92" s="4" t="str">
        <f>_xlfn.CONCAT(LOWER(Table1[[#This Row],[FirstName]]),".",LOWER(Table1[[#This Row],[LastName]]),"@company.com")</f>
        <v>sana.sharma@company.com</v>
      </c>
      <c r="S92" s="4" t="str">
        <f>_xlfn.CONCAT(Table1[[#This Row],[City]],"-",Table1[[#This Row],[Department]])</f>
        <v>Pune-Legal</v>
      </c>
      <c r="T92" s="4">
        <f>LEN(Table1[[#This Row],[EmailRaw]])</f>
        <v>27</v>
      </c>
      <c r="U92" s="4">
        <f>LEN(Table1[[#This Row],[Full_name]])</f>
        <v>11</v>
      </c>
      <c r="V92" s="4">
        <f>LEN(TRIM(Table1[[#This Row],[EmailRaw]]))</f>
        <v>23</v>
      </c>
      <c r="W92" s="4">
        <f>Table1[[#This Row],[Len_row_mail]]-Table1[[#This Row],[trim_len_row_mail]]</f>
        <v>4</v>
      </c>
      <c r="X92" s="4" t="str">
        <f>TRIM(Table1[[#This Row],[Full_name]])</f>
        <v>Sana Sharma</v>
      </c>
      <c r="Y92" s="4" t="str">
        <f>TRIM(Table1[[#This Row],[EmailRaw]])</f>
        <v>sana.sharma@company.com</v>
      </c>
      <c r="Z92" s="4">
        <f>LEN(Table1[[#This Row],[Trimed_mail]])</f>
        <v>23</v>
      </c>
      <c r="AA92" s="4"/>
      <c r="AB92" s="4"/>
      <c r="AC92" s="4"/>
      <c r="AD92" s="4"/>
      <c r="AE92" s="4"/>
      <c r="AF92" s="4"/>
      <c r="AG92" s="4"/>
      <c r="AH92" s="4"/>
      <c r="AI92" s="4"/>
    </row>
    <row r="93" spans="1:35">
      <c r="A93" t="s">
        <v>416</v>
      </c>
      <c r="B93" t="s">
        <v>240</v>
      </c>
      <c r="C93" t="s">
        <v>44</v>
      </c>
      <c r="D93" t="s">
        <v>90</v>
      </c>
      <c r="E93" t="s">
        <v>24</v>
      </c>
      <c r="F93">
        <v>116905</v>
      </c>
      <c r="G93">
        <v>39</v>
      </c>
      <c r="H93">
        <v>2018</v>
      </c>
      <c r="I93" t="str">
        <f>IF(Table1[[#This Row],[JoiningYear]]&lt;2015,"senior","junior")</f>
        <v>junior</v>
      </c>
      <c r="J93">
        <v>1</v>
      </c>
      <c r="K93" t="s">
        <v>417</v>
      </c>
      <c r="L93" t="s">
        <v>418</v>
      </c>
      <c r="M93" t="s">
        <v>419</v>
      </c>
      <c r="N93" t="str">
        <f>IF(Table1[[#This Row],[Salary]]&gt;70000,"high","low")</f>
        <v>high</v>
      </c>
      <c r="O93" t="str">
        <f>IF(Table1[[#This Row],[Rating]]&gt;=4,"Top performance","Average")</f>
        <v>Average</v>
      </c>
      <c r="P93" t="str">
        <f>IF(Table1[[#This Row],[JoiningYear]]&lt;2015,"Senior","Junior")</f>
        <v>Junior</v>
      </c>
      <c r="Q93" t="str">
        <f>_xlfn.CONCAT(Table1[[#This Row],[FirstName]]," ",Table1[[#This Row],[LastName]])</f>
        <v>Arjun Iyer</v>
      </c>
      <c r="R93" s="4" t="str">
        <f>_xlfn.CONCAT(LOWER(Table1[[#This Row],[FirstName]]),".",LOWER(Table1[[#This Row],[LastName]]),"@company.com")</f>
        <v>arjun.iyer@company.com</v>
      </c>
      <c r="S93" s="4" t="str">
        <f>_xlfn.CONCAT(Table1[[#This Row],[City]],"-",Table1[[#This Row],[Department]])</f>
        <v>Surat-Marketing</v>
      </c>
      <c r="T93" s="4">
        <f>LEN(Table1[[#This Row],[EmailRaw]])</f>
        <v>26</v>
      </c>
      <c r="U93" s="4">
        <f>LEN(Table1[[#This Row],[Full_name]])</f>
        <v>10</v>
      </c>
      <c r="V93" s="4">
        <f>LEN(TRIM(Table1[[#This Row],[EmailRaw]]))</f>
        <v>22</v>
      </c>
      <c r="W93" s="4">
        <f>Table1[[#This Row],[Len_row_mail]]-Table1[[#This Row],[trim_len_row_mail]]</f>
        <v>4</v>
      </c>
      <c r="X93" s="4" t="str">
        <f>TRIM(Table1[[#This Row],[Full_name]])</f>
        <v>Arjun Iyer</v>
      </c>
      <c r="Y93" s="4" t="str">
        <f>TRIM(Table1[[#This Row],[EmailRaw]])</f>
        <v>arjun.iyer@company.com</v>
      </c>
      <c r="Z93" s="4">
        <f>LEN(Table1[[#This Row],[Trimed_mail]])</f>
        <v>22</v>
      </c>
      <c r="AA93" s="4"/>
      <c r="AB93" s="4"/>
      <c r="AC93" s="4"/>
      <c r="AD93" s="4"/>
      <c r="AE93" s="4"/>
      <c r="AF93" s="4"/>
      <c r="AG93" s="4"/>
      <c r="AH93" s="4"/>
      <c r="AI93" s="4"/>
    </row>
    <row r="94" spans="1:35">
      <c r="A94" t="s">
        <v>420</v>
      </c>
      <c r="B94" t="s">
        <v>292</v>
      </c>
      <c r="C94" t="s">
        <v>77</v>
      </c>
      <c r="D94" t="s">
        <v>83</v>
      </c>
      <c r="E94" t="s">
        <v>113</v>
      </c>
      <c r="F94">
        <v>89038</v>
      </c>
      <c r="G94">
        <v>57</v>
      </c>
      <c r="H94">
        <v>2022</v>
      </c>
      <c r="I94" t="str">
        <f>IF(Table1[[#This Row],[JoiningYear]]&lt;2015,"senior","junior")</f>
        <v>junior</v>
      </c>
      <c r="J94">
        <v>2</v>
      </c>
      <c r="K94" t="s">
        <v>395</v>
      </c>
      <c r="L94" t="s">
        <v>396</v>
      </c>
      <c r="M94" t="s">
        <v>421</v>
      </c>
      <c r="N94" t="str">
        <f>IF(Table1[[#This Row],[Salary]]&gt;70000,"high","low")</f>
        <v>high</v>
      </c>
      <c r="O94" t="str">
        <f>IF(Table1[[#This Row],[Rating]]&gt;=4,"Top performance","Average")</f>
        <v>Average</v>
      </c>
      <c r="P94" t="str">
        <f>IF(Table1[[#This Row],[JoiningYear]]&lt;2015,"Senior","Junior")</f>
        <v>Junior</v>
      </c>
      <c r="Q94" t="str">
        <f>_xlfn.CONCAT(Table1[[#This Row],[FirstName]]," ",Table1[[#This Row],[LastName]])</f>
        <v>Nikhil Gupta</v>
      </c>
      <c r="R94" s="4" t="str">
        <f>_xlfn.CONCAT(LOWER(Table1[[#This Row],[FirstName]]),".",LOWER(Table1[[#This Row],[LastName]]),"@company.com")</f>
        <v>nikhil.gupta@company.com</v>
      </c>
      <c r="S94" s="4" t="str">
        <f>_xlfn.CONCAT(Table1[[#This Row],[City]],"-",Table1[[#This Row],[Department]])</f>
        <v>Kolkata-IT</v>
      </c>
      <c r="T94" s="4">
        <f>LEN(Table1[[#This Row],[EmailRaw]])</f>
        <v>28</v>
      </c>
      <c r="U94" s="4">
        <f>LEN(Table1[[#This Row],[Full_name]])</f>
        <v>12</v>
      </c>
      <c r="V94" s="4">
        <f>LEN(TRIM(Table1[[#This Row],[EmailRaw]]))</f>
        <v>24</v>
      </c>
      <c r="W94" s="4">
        <f>Table1[[#This Row],[Len_row_mail]]-Table1[[#This Row],[trim_len_row_mail]]</f>
        <v>4</v>
      </c>
      <c r="X94" s="4" t="str">
        <f>TRIM(Table1[[#This Row],[Full_name]])</f>
        <v>Nikhil Gupta</v>
      </c>
      <c r="Y94" s="4" t="str">
        <f>TRIM(Table1[[#This Row],[EmailRaw]])</f>
        <v>nikhil.gupta@company.com</v>
      </c>
      <c r="Z94" s="4">
        <f>LEN(Table1[[#This Row],[Trimed_mail]])</f>
        <v>24</v>
      </c>
      <c r="AA94" s="4"/>
      <c r="AB94" s="4"/>
      <c r="AC94" s="4"/>
      <c r="AD94" s="4"/>
      <c r="AE94" s="4"/>
      <c r="AF94" s="4"/>
      <c r="AG94" s="4"/>
      <c r="AH94" s="4"/>
      <c r="AI94" s="4"/>
    </row>
    <row r="95" spans="1:35">
      <c r="A95" t="s">
        <v>422</v>
      </c>
      <c r="B95" t="s">
        <v>173</v>
      </c>
      <c r="C95" t="s">
        <v>95</v>
      </c>
      <c r="D95" t="s">
        <v>107</v>
      </c>
      <c r="E95" t="s">
        <v>165</v>
      </c>
      <c r="F95">
        <v>37196</v>
      </c>
      <c r="G95">
        <v>40</v>
      </c>
      <c r="H95">
        <v>2013</v>
      </c>
      <c r="I95" t="str">
        <f>IF(Table1[[#This Row],[JoiningYear]]&lt;2015,"senior","junior")</f>
        <v>senior</v>
      </c>
      <c r="J95">
        <v>2.6</v>
      </c>
      <c r="K95" t="s">
        <v>423</v>
      </c>
      <c r="L95" t="s">
        <v>424</v>
      </c>
      <c r="M95" t="s">
        <v>157</v>
      </c>
      <c r="N95" t="str">
        <f>IF(Table1[[#This Row],[Salary]]&gt;70000,"high","low")</f>
        <v>low</v>
      </c>
      <c r="O95" t="str">
        <f>IF(Table1[[#This Row],[Rating]]&gt;=4,"Top performance","Average")</f>
        <v>Average</v>
      </c>
      <c r="P95" t="str">
        <f>IF(Table1[[#This Row],[JoiningYear]]&lt;2015,"Senior","Junior")</f>
        <v>Senior</v>
      </c>
      <c r="Q95" t="str">
        <f>_xlfn.CONCAT(Table1[[#This Row],[FirstName]]," ",Table1[[#This Row],[LastName]])</f>
        <v>Yash Rao</v>
      </c>
      <c r="R95" s="4" t="str">
        <f>_xlfn.CONCAT(LOWER(Table1[[#This Row],[FirstName]]),".",LOWER(Table1[[#This Row],[LastName]]),"@company.com")</f>
        <v>yash.rao@company.com</v>
      </c>
      <c r="S95" s="4" t="str">
        <f>_xlfn.CONCAT(Table1[[#This Row],[City]],"-",Table1[[#This Row],[Department]])</f>
        <v>Mumbai-Legal</v>
      </c>
      <c r="T95" s="4">
        <f>LEN(Table1[[#This Row],[EmailRaw]])</f>
        <v>24</v>
      </c>
      <c r="U95" s="4">
        <f>LEN(Table1[[#This Row],[Full_name]])</f>
        <v>8</v>
      </c>
      <c r="V95" s="4">
        <f>LEN(TRIM(Table1[[#This Row],[EmailRaw]]))</f>
        <v>20</v>
      </c>
      <c r="W95" s="4">
        <f>Table1[[#This Row],[Len_row_mail]]-Table1[[#This Row],[trim_len_row_mail]]</f>
        <v>4</v>
      </c>
      <c r="X95" s="4" t="str">
        <f>TRIM(Table1[[#This Row],[Full_name]])</f>
        <v>Yash Rao</v>
      </c>
      <c r="Y95" s="4" t="str">
        <f>TRIM(Table1[[#This Row],[EmailRaw]])</f>
        <v>yash.rao@company.com</v>
      </c>
      <c r="Z95" s="4">
        <f>LEN(Table1[[#This Row],[Trimed_mail]])</f>
        <v>20</v>
      </c>
      <c r="AA95" s="4"/>
      <c r="AB95" s="4"/>
      <c r="AC95" s="4"/>
      <c r="AD95" s="4"/>
      <c r="AE95" s="4"/>
      <c r="AF95" s="4"/>
      <c r="AG95" s="4"/>
      <c r="AH95" s="4"/>
      <c r="AI95" s="4"/>
    </row>
    <row r="96" spans="1:35">
      <c r="A96" t="s">
        <v>425</v>
      </c>
      <c r="B96" t="s">
        <v>184</v>
      </c>
      <c r="C96" t="s">
        <v>63</v>
      </c>
      <c r="D96" t="s">
        <v>57</v>
      </c>
      <c r="E96" t="s">
        <v>51</v>
      </c>
      <c r="F96">
        <v>97544</v>
      </c>
      <c r="G96">
        <v>55</v>
      </c>
      <c r="H96">
        <v>2015</v>
      </c>
      <c r="I96" t="str">
        <f>IF(Table1[[#This Row],[JoiningYear]]&lt;2015,"senior","junior")</f>
        <v>junior</v>
      </c>
      <c r="J96">
        <v>2.7</v>
      </c>
      <c r="K96" t="s">
        <v>426</v>
      </c>
      <c r="L96" t="s">
        <v>427</v>
      </c>
      <c r="M96" t="s">
        <v>136</v>
      </c>
      <c r="N96" t="str">
        <f>IF(Table1[[#This Row],[Salary]]&gt;70000,"high","low")</f>
        <v>high</v>
      </c>
      <c r="O96" t="str">
        <f>IF(Table1[[#This Row],[Rating]]&gt;=4,"Top performance","Average")</f>
        <v>Average</v>
      </c>
      <c r="P96" t="str">
        <f>IF(Table1[[#This Row],[JoiningYear]]&lt;2015,"Senior","Junior")</f>
        <v>Junior</v>
      </c>
      <c r="Q96" t="str">
        <f>_xlfn.CONCAT(Table1[[#This Row],[FirstName]]," ",Table1[[#This Row],[LastName]])</f>
        <v>Nisha Reddy</v>
      </c>
      <c r="R96" s="4" t="str">
        <f>_xlfn.CONCAT(LOWER(Table1[[#This Row],[FirstName]]),".",LOWER(Table1[[#This Row],[LastName]]),"@company.com")</f>
        <v>nisha.reddy@company.com</v>
      </c>
      <c r="S96" s="4" t="str">
        <f>_xlfn.CONCAT(Table1[[#This Row],[City]],"-",Table1[[#This Row],[Department]])</f>
        <v>Jaipur-Operations</v>
      </c>
      <c r="T96" s="4">
        <f>LEN(Table1[[#This Row],[EmailRaw]])</f>
        <v>27</v>
      </c>
      <c r="U96" s="4">
        <f>LEN(Table1[[#This Row],[Full_name]])</f>
        <v>11</v>
      </c>
      <c r="V96" s="4">
        <f>LEN(TRIM(Table1[[#This Row],[EmailRaw]]))</f>
        <v>23</v>
      </c>
      <c r="W96" s="4">
        <f>Table1[[#This Row],[Len_row_mail]]-Table1[[#This Row],[trim_len_row_mail]]</f>
        <v>4</v>
      </c>
      <c r="X96" s="4" t="str">
        <f>TRIM(Table1[[#This Row],[Full_name]])</f>
        <v>Nisha Reddy</v>
      </c>
      <c r="Y96" s="4" t="str">
        <f>TRIM(Table1[[#This Row],[EmailRaw]])</f>
        <v>nisha.reddy@company.com</v>
      </c>
      <c r="Z96" s="4">
        <f>LEN(Table1[[#This Row],[Trimed_mail]])</f>
        <v>23</v>
      </c>
      <c r="AA96" s="4"/>
      <c r="AB96" s="4"/>
      <c r="AC96" s="4"/>
      <c r="AD96" s="4"/>
      <c r="AE96" s="4"/>
      <c r="AF96" s="4"/>
      <c r="AG96" s="4"/>
      <c r="AH96" s="4"/>
      <c r="AI96" s="4"/>
    </row>
    <row r="97" spans="1:35">
      <c r="A97" t="s">
        <v>428</v>
      </c>
      <c r="B97" t="s">
        <v>265</v>
      </c>
      <c r="C97" t="s">
        <v>22</v>
      </c>
      <c r="D97" t="s">
        <v>57</v>
      </c>
      <c r="E97" t="s">
        <v>71</v>
      </c>
      <c r="F97">
        <v>117124</v>
      </c>
      <c r="G97">
        <v>51</v>
      </c>
      <c r="H97">
        <v>2014</v>
      </c>
      <c r="I97" t="str">
        <f>IF(Table1[[#This Row],[JoiningYear]]&lt;2015,"senior","junior")</f>
        <v>senior</v>
      </c>
      <c r="J97">
        <v>2.2000000000000002</v>
      </c>
      <c r="K97" t="s">
        <v>429</v>
      </c>
      <c r="L97" t="s">
        <v>430</v>
      </c>
      <c r="M97" t="s">
        <v>431</v>
      </c>
      <c r="N97" t="str">
        <f>IF(Table1[[#This Row],[Salary]]&gt;70000,"high","low")</f>
        <v>high</v>
      </c>
      <c r="O97" t="str">
        <f>IF(Table1[[#This Row],[Rating]]&gt;=4,"Top performance","Average")</f>
        <v>Average</v>
      </c>
      <c r="P97" t="str">
        <f>IF(Table1[[#This Row],[JoiningYear]]&lt;2015,"Senior","Junior")</f>
        <v>Senior</v>
      </c>
      <c r="Q97" t="str">
        <f>_xlfn.CONCAT(Table1[[#This Row],[FirstName]]," ",Table1[[#This Row],[LastName]])</f>
        <v>Jyoti Agarwal</v>
      </c>
      <c r="R97" s="4" t="str">
        <f>_xlfn.CONCAT(LOWER(Table1[[#This Row],[FirstName]]),".",LOWER(Table1[[#This Row],[LastName]]),"@company.com")</f>
        <v>jyoti.agarwal@company.com</v>
      </c>
      <c r="S97" s="4" t="str">
        <f>_xlfn.CONCAT(Table1[[#This Row],[City]],"-",Table1[[#This Row],[Department]])</f>
        <v>Pune-Operations</v>
      </c>
      <c r="T97" s="4">
        <f>LEN(Table1[[#This Row],[EmailRaw]])</f>
        <v>29</v>
      </c>
      <c r="U97" s="4">
        <f>LEN(Table1[[#This Row],[Full_name]])</f>
        <v>13</v>
      </c>
      <c r="V97" s="4">
        <f>LEN(TRIM(Table1[[#This Row],[EmailRaw]]))</f>
        <v>25</v>
      </c>
      <c r="W97" s="4">
        <f>Table1[[#This Row],[Len_row_mail]]-Table1[[#This Row],[trim_len_row_mail]]</f>
        <v>4</v>
      </c>
      <c r="X97" s="4" t="str">
        <f>TRIM(Table1[[#This Row],[Full_name]])</f>
        <v>Jyoti Agarwal</v>
      </c>
      <c r="Y97" s="4" t="str">
        <f>TRIM(Table1[[#This Row],[EmailRaw]])</f>
        <v>jyoti.agarwal@company.com</v>
      </c>
      <c r="Z97" s="4">
        <f>LEN(Table1[[#This Row],[Trimed_mail]])</f>
        <v>25</v>
      </c>
      <c r="AA97" s="4"/>
      <c r="AB97" s="4"/>
      <c r="AC97" s="4"/>
      <c r="AD97" s="4"/>
      <c r="AE97" s="4"/>
      <c r="AF97" s="4"/>
      <c r="AG97" s="4"/>
      <c r="AH97" s="4"/>
      <c r="AI97" s="4"/>
    </row>
    <row r="98" spans="1:35">
      <c r="A98" t="s">
        <v>432</v>
      </c>
      <c r="B98" t="s">
        <v>29</v>
      </c>
      <c r="C98" t="s">
        <v>14</v>
      </c>
      <c r="D98" t="s">
        <v>83</v>
      </c>
      <c r="E98" t="s">
        <v>71</v>
      </c>
      <c r="F98">
        <v>40670</v>
      </c>
      <c r="G98">
        <v>56</v>
      </c>
      <c r="H98">
        <v>2022</v>
      </c>
      <c r="I98" t="str">
        <f>IF(Table1[[#This Row],[JoiningYear]]&lt;2015,"senior","junior")</f>
        <v>junior</v>
      </c>
      <c r="J98">
        <v>3.8</v>
      </c>
      <c r="K98" t="s">
        <v>433</v>
      </c>
      <c r="L98" t="s">
        <v>434</v>
      </c>
      <c r="M98" t="s">
        <v>421</v>
      </c>
      <c r="N98" t="str">
        <f>IF(Table1[[#This Row],[Salary]]&gt;70000,"high","low")</f>
        <v>low</v>
      </c>
      <c r="O98" t="str">
        <f>IF(Table1[[#This Row],[Rating]]&gt;=4,"Top performance","Average")</f>
        <v>Average</v>
      </c>
      <c r="P98" t="str">
        <f>IF(Table1[[#This Row],[JoiningYear]]&lt;2015,"Senior","Junior")</f>
        <v>Junior</v>
      </c>
      <c r="Q98" t="str">
        <f>_xlfn.CONCAT(Table1[[#This Row],[FirstName]]," ",Table1[[#This Row],[LastName]])</f>
        <v>Karan Singh</v>
      </c>
      <c r="R98" s="4" t="str">
        <f>_xlfn.CONCAT(LOWER(Table1[[#This Row],[FirstName]]),".",LOWER(Table1[[#This Row],[LastName]]),"@company.com")</f>
        <v>karan.singh@company.com</v>
      </c>
      <c r="S98" s="4" t="str">
        <f>_xlfn.CONCAT(Table1[[#This Row],[City]],"-",Table1[[#This Row],[Department]])</f>
        <v>Pune-IT</v>
      </c>
      <c r="T98" s="4">
        <f>LEN(Table1[[#This Row],[EmailRaw]])</f>
        <v>27</v>
      </c>
      <c r="U98" s="4">
        <f>LEN(Table1[[#This Row],[Full_name]])</f>
        <v>11</v>
      </c>
      <c r="V98" s="4">
        <f>LEN(TRIM(Table1[[#This Row],[EmailRaw]]))</f>
        <v>23</v>
      </c>
      <c r="W98" s="4">
        <f>Table1[[#This Row],[Len_row_mail]]-Table1[[#This Row],[trim_len_row_mail]]</f>
        <v>4</v>
      </c>
      <c r="X98" s="4" t="str">
        <f>TRIM(Table1[[#This Row],[Full_name]])</f>
        <v>Karan Singh</v>
      </c>
      <c r="Y98" s="4" t="str">
        <f>TRIM(Table1[[#This Row],[EmailRaw]])</f>
        <v>karan.singh@company.com</v>
      </c>
      <c r="Z98" s="4">
        <f>LEN(Table1[[#This Row],[Trimed_mail]])</f>
        <v>23</v>
      </c>
      <c r="AA98" s="4"/>
      <c r="AB98" s="4"/>
      <c r="AC98" s="4"/>
      <c r="AD98" s="4"/>
      <c r="AE98" s="4"/>
      <c r="AF98" s="4"/>
      <c r="AG98" s="4"/>
      <c r="AH98" s="4"/>
      <c r="AI98" s="4"/>
    </row>
    <row r="99" spans="1:35">
      <c r="A99" t="s">
        <v>435</v>
      </c>
      <c r="B99" t="s">
        <v>292</v>
      </c>
      <c r="C99" t="s">
        <v>185</v>
      </c>
      <c r="D99" t="s">
        <v>107</v>
      </c>
      <c r="E99" t="s">
        <v>16</v>
      </c>
      <c r="F99">
        <v>119972</v>
      </c>
      <c r="G99">
        <v>55</v>
      </c>
      <c r="H99">
        <v>2019</v>
      </c>
      <c r="I99" t="str">
        <f>IF(Table1[[#This Row],[JoiningYear]]&lt;2015,"senior","junior")</f>
        <v>junior</v>
      </c>
      <c r="J99">
        <v>2.1</v>
      </c>
      <c r="K99" t="s">
        <v>436</v>
      </c>
      <c r="L99" t="s">
        <v>437</v>
      </c>
      <c r="M99" t="s">
        <v>414</v>
      </c>
      <c r="N99" t="str">
        <f>IF(Table1[[#This Row],[Salary]]&gt;70000,"high","low")</f>
        <v>high</v>
      </c>
      <c r="O99" t="str">
        <f>IF(Table1[[#This Row],[Rating]]&gt;=4,"Top performance","Average")</f>
        <v>Average</v>
      </c>
      <c r="P99" t="str">
        <f>IF(Table1[[#This Row],[JoiningYear]]&lt;2015,"Senior","Junior")</f>
        <v>Junior</v>
      </c>
      <c r="Q99" t="str">
        <f>_xlfn.CONCAT(Table1[[#This Row],[FirstName]]," ",Table1[[#This Row],[LastName]])</f>
        <v>Nikhil Joshi</v>
      </c>
      <c r="R99" s="4" t="str">
        <f>_xlfn.CONCAT(LOWER(Table1[[#This Row],[FirstName]]),".",LOWER(Table1[[#This Row],[LastName]]),"@company.com")</f>
        <v>nikhil.joshi@company.com</v>
      </c>
      <c r="S99" s="4" t="str">
        <f>_xlfn.CONCAT(Table1[[#This Row],[City]],"-",Table1[[#This Row],[Department]])</f>
        <v>Chennai-Legal</v>
      </c>
      <c r="T99" s="4">
        <f>LEN(Table1[[#This Row],[EmailRaw]])</f>
        <v>28</v>
      </c>
      <c r="U99" s="4">
        <f>LEN(Table1[[#This Row],[Full_name]])</f>
        <v>12</v>
      </c>
      <c r="V99" s="4">
        <f>LEN(TRIM(Table1[[#This Row],[EmailRaw]]))</f>
        <v>24</v>
      </c>
      <c r="W99" s="4">
        <f>Table1[[#This Row],[Len_row_mail]]-Table1[[#This Row],[trim_len_row_mail]]</f>
        <v>4</v>
      </c>
      <c r="X99" s="4" t="str">
        <f>TRIM(Table1[[#This Row],[Full_name]])</f>
        <v>Nikhil Joshi</v>
      </c>
      <c r="Y99" s="4" t="str">
        <f>TRIM(Table1[[#This Row],[EmailRaw]])</f>
        <v>nikhil.joshi@company.com</v>
      </c>
      <c r="Z99" s="4">
        <f>LEN(Table1[[#This Row],[Trimed_mail]])</f>
        <v>24</v>
      </c>
      <c r="AA99" s="4"/>
      <c r="AB99" s="4"/>
      <c r="AC99" s="4"/>
      <c r="AD99" s="4"/>
      <c r="AE99" s="4"/>
      <c r="AF99" s="4"/>
      <c r="AG99" s="4"/>
      <c r="AH99" s="4"/>
      <c r="AI99" s="4"/>
    </row>
    <row r="100" spans="1:35">
      <c r="A100" t="s">
        <v>438</v>
      </c>
      <c r="B100" t="s">
        <v>329</v>
      </c>
      <c r="C100" t="s">
        <v>185</v>
      </c>
      <c r="D100" t="s">
        <v>90</v>
      </c>
      <c r="E100" t="s">
        <v>64</v>
      </c>
      <c r="F100">
        <v>72301</v>
      </c>
      <c r="G100">
        <v>33</v>
      </c>
      <c r="H100">
        <v>2014</v>
      </c>
      <c r="I100" t="str">
        <f>IF(Table1[[#This Row],[JoiningYear]]&lt;2015,"senior","junior")</f>
        <v>senior</v>
      </c>
      <c r="J100">
        <v>1.1000000000000001</v>
      </c>
      <c r="K100" t="s">
        <v>439</v>
      </c>
      <c r="L100" t="s">
        <v>440</v>
      </c>
      <c r="M100" t="s">
        <v>441</v>
      </c>
      <c r="N100" t="str">
        <f>IF(Table1[[#This Row],[Salary]]&gt;70000,"high","low")</f>
        <v>high</v>
      </c>
      <c r="O100" t="str">
        <f>IF(Table1[[#This Row],[Rating]]&gt;=4,"Top performance","Average")</f>
        <v>Average</v>
      </c>
      <c r="P100" t="str">
        <f>IF(Table1[[#This Row],[JoiningYear]]&lt;2015,"Senior","Junior")</f>
        <v>Senior</v>
      </c>
      <c r="Q100" t="str">
        <f>_xlfn.CONCAT(Table1[[#This Row],[FirstName]]," ",Table1[[#This Row],[LastName]])</f>
        <v>Rohan Joshi</v>
      </c>
      <c r="R100" s="4" t="str">
        <f>_xlfn.CONCAT(LOWER(Table1[[#This Row],[FirstName]]),".",LOWER(Table1[[#This Row],[LastName]]),"@company.com")</f>
        <v>rohan.joshi@company.com</v>
      </c>
      <c r="S100" s="4" t="str">
        <f>_xlfn.CONCAT(Table1[[#This Row],[City]],"-",Table1[[#This Row],[Department]])</f>
        <v>Hyderabad-Marketing</v>
      </c>
      <c r="T100" s="4">
        <f>LEN(Table1[[#This Row],[EmailRaw]])</f>
        <v>27</v>
      </c>
      <c r="U100" s="4">
        <f>LEN(Table1[[#This Row],[Full_name]])</f>
        <v>11</v>
      </c>
      <c r="V100" s="4">
        <f>LEN(TRIM(Table1[[#This Row],[EmailRaw]]))</f>
        <v>23</v>
      </c>
      <c r="W100" s="4">
        <f>Table1[[#This Row],[Len_row_mail]]-Table1[[#This Row],[trim_len_row_mail]]</f>
        <v>4</v>
      </c>
      <c r="X100" s="4" t="str">
        <f>TRIM(Table1[[#This Row],[Full_name]])</f>
        <v>Rohan Joshi</v>
      </c>
      <c r="Y100" s="4" t="str">
        <f>TRIM(Table1[[#This Row],[EmailRaw]])</f>
        <v>rohan.joshi@company.com</v>
      </c>
      <c r="Z100" s="4">
        <f>LEN(Table1[[#This Row],[Trimed_mail]])</f>
        <v>23</v>
      </c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>
      <c r="A101" t="s">
        <v>442</v>
      </c>
      <c r="B101" t="s">
        <v>193</v>
      </c>
      <c r="C101" t="s">
        <v>348</v>
      </c>
      <c r="D101" t="s">
        <v>90</v>
      </c>
      <c r="E101" t="s">
        <v>165</v>
      </c>
      <c r="F101">
        <v>32146</v>
      </c>
      <c r="G101">
        <v>57</v>
      </c>
      <c r="H101">
        <v>2014</v>
      </c>
      <c r="I101" t="str">
        <f>IF(Table1[[#This Row],[JoiningYear]]&lt;2015,"senior","junior")</f>
        <v>senior</v>
      </c>
      <c r="J101">
        <v>3.8</v>
      </c>
      <c r="K101" t="s">
        <v>443</v>
      </c>
      <c r="L101" t="s">
        <v>444</v>
      </c>
      <c r="M101" t="s">
        <v>441</v>
      </c>
      <c r="N101" t="str">
        <f>IF(Table1[[#This Row],[Salary]]&gt;70000,"high","low")</f>
        <v>low</v>
      </c>
      <c r="O101" t="str">
        <f>IF(Table1[[#This Row],[Rating]]&gt;=4,"Top performance","Average")</f>
        <v>Average</v>
      </c>
      <c r="P101" t="str">
        <f>IF(Table1[[#This Row],[JoiningYear]]&lt;2015,"Senior","Junior")</f>
        <v>Senior</v>
      </c>
      <c r="Q101" t="str">
        <f>_xlfn.CONCAT(Table1[[#This Row],[FirstName]]," ",Table1[[#This Row],[LastName]])</f>
        <v>Harsh Patel</v>
      </c>
      <c r="R101" s="4" t="str">
        <f>_xlfn.CONCAT(LOWER(Table1[[#This Row],[FirstName]]),".",LOWER(Table1[[#This Row],[LastName]]),"@company.com")</f>
        <v>harsh.patel@company.com</v>
      </c>
      <c r="S101" s="4" t="str">
        <f>_xlfn.CONCAT(Table1[[#This Row],[City]],"-",Table1[[#This Row],[Department]])</f>
        <v>Mumbai-Marketing</v>
      </c>
      <c r="T101" s="4">
        <f>LEN(Table1[[#This Row],[EmailRaw]])</f>
        <v>27</v>
      </c>
      <c r="U101" s="4">
        <f>LEN(Table1[[#This Row],[Full_name]])</f>
        <v>11</v>
      </c>
      <c r="V101" s="4">
        <f>LEN(TRIM(Table1[[#This Row],[EmailRaw]]))</f>
        <v>23</v>
      </c>
      <c r="W101" s="4">
        <f>Table1[[#This Row],[Len_row_mail]]-Table1[[#This Row],[trim_len_row_mail]]</f>
        <v>4</v>
      </c>
      <c r="X101" s="4" t="str">
        <f>TRIM(Table1[[#This Row],[Full_name]])</f>
        <v>Harsh Patel</v>
      </c>
      <c r="Y101" s="4" t="str">
        <f>TRIM(Table1[[#This Row],[EmailRaw]])</f>
        <v>harsh.patel@company.com</v>
      </c>
      <c r="Z101" s="4">
        <f>LEN(Table1[[#This Row],[Trimed_mail]])</f>
        <v>23</v>
      </c>
      <c r="AA101" s="4"/>
      <c r="AB101" s="4"/>
      <c r="AC101" s="4"/>
      <c r="AD101" s="4"/>
      <c r="AE101" s="4"/>
      <c r="AF101" s="4"/>
      <c r="AG101" s="4"/>
      <c r="AH101" s="4"/>
      <c r="AI101" s="4"/>
    </row>
    <row r="106" spans="1:35">
      <c r="H106" s="1"/>
      <c r="I106" s="1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manii bachchani</cp:lastModifiedBy>
  <dcterms:created xsi:type="dcterms:W3CDTF">2026-03-18T11:18:11Z</dcterms:created>
  <dcterms:modified xsi:type="dcterms:W3CDTF">2026-03-18T18:41:52Z</dcterms:modified>
</cp:coreProperties>
</file>